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Weekly" sheetId="2" state="visible" r:id="rId4"/>
    <sheet name="Daily" sheetId="3" state="visible" r:id="rId5"/>
    <sheet name="April check" sheetId="4" state="visible" r:id="rId6"/>
    <sheet name="Payment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<sst xmlns="http://schemas.openxmlformats.org/spreadsheetml/2006/main" count="82" uniqueCount="74">
  <si>
    <t xml:space="preserve">Wellness Studio Sessions Tracker: 29 April – 23 June 2026</t>
  </si>
  <si>
    <t xml:space="preserve">Prepared by Alfie Johnson · Demand Forecasting &amp; Customer Analytics · Built from a UK wellness studio's booking system, 1 Jan – 28 Apr 2026</t>
  </si>
  <si>
    <t xml:space="preserve">What this is</t>
  </si>
  <si>
    <t xml:space="preserve">A weekly check of booked sessions against the forecast, so you can see early if demand is moving and adjust staffing, offers or opening hours.</t>
  </si>
  <si>
    <t xml:space="preserve">How to use it</t>
  </si>
  <si>
    <t xml:space="preserve">1. Each Tuesday, type last week's total sessions into the yellow 'Actual' cell on the Weekly tab (weeks run Wednesday to Tuesday).</t>
  </si>
  <si>
    <t xml:space="preserve">2. Status updates itself: green = on track, red = busier than expected, amber = quieter than expected.</t>
  </si>
  <si>
    <t xml:space="preserve">3. Act on two flags in a row, not one. Roughly 1 week in 5 can fall outside the range by chance.</t>
  </si>
  <si>
    <t xml:space="preserve">4. Optional: fill in daily sessions on the Daily tab to check the day-of-week pattern used for staffing.</t>
  </si>
  <si>
    <t xml:space="preserve">5. Each month, enter failed-payment figures on the Payments tab to see whether recovery is improving.</t>
  </si>
  <si>
    <t xml:space="preserve">Tabs</t>
  </si>
  <si>
    <t xml:space="preserve">Weekly: the 8-week forecast with Low / Likely / High and running totals.</t>
  </si>
  <si>
    <t xml:space="preserve">Daily: the forecast for each day, for rotas.</t>
  </si>
  <si>
    <t xml:space="preserve">April check: the same tracker filled in with real April sessions, forecast using only January–March data.</t>
  </si>
  <si>
    <t xml:space="preserve">Payments: monthly failed membership payments, recovered and still owed.</t>
  </si>
  <si>
    <t xml:space="preserve">Where the numbers come from</t>
  </si>
  <si>
    <t xml:space="preserve">Likely = model forecast (Poisson regression on day of week and trend). Low / High = 10th and 90th percentiles of 5,000 simulated weeks, so 8 in 10 weeks should land inside.</t>
  </si>
  <si>
    <t xml:space="preserve">Sessions = paid and complimentary bookings for contrast therapy, off-peak, hyperbaric oxygen, breathwork and women-only sessions. Failed, refunded and pending bookings excluded.</t>
  </si>
  <si>
    <t xml:space="preserve">Weekly sessions: forecast vs actual</t>
  </si>
  <si>
    <t xml:space="preserve">Type each week's total into the yellow column. Everything else updates.</t>
  </si>
  <si>
    <t xml:space="preserve">Week start (Wed)</t>
  </si>
  <si>
    <t xml:space="preserve">Week end (Tue)</t>
  </si>
  <si>
    <t xml:space="preserve">Low (P10)</t>
  </si>
  <si>
    <t xml:space="preserve">Likely</t>
  </si>
  <si>
    <t xml:space="preserve">High (P90)</t>
  </si>
  <si>
    <t xml:space="preserve">Actual (enter)</t>
  </si>
  <si>
    <t xml:space="preserve">Actual vs likely</t>
  </si>
  <si>
    <t xml:space="preserve">Status</t>
  </si>
  <si>
    <t xml:space="preserve">Cumulative likely</t>
  </si>
  <si>
    <t xml:space="preserve">Cumulative actual</t>
  </si>
  <si>
    <t xml:space="preserve">Cumulative vs likely</t>
  </si>
  <si>
    <t xml:space="preserve">8-week total</t>
  </si>
  <si>
    <t xml:space="preserve">Simulated 8-week total: likely 1,595, 80% range 1,457–1,744. Weekly ranges don't add up to this, because good and bad weeks partly cancel out.</t>
  </si>
  <si>
    <t xml:space="preserve">Daily sessions forecast (for rotas)</t>
  </si>
  <si>
    <t xml:space="preserve">Low/High are the 80% range for a single day. Days swing more than weeks, so staff to the weekly pattern.</t>
  </si>
  <si>
    <t xml:space="preserve">Date</t>
  </si>
  <si>
    <t xml:space="preserve">Day</t>
  </si>
  <si>
    <t xml:space="preserve">Average by day of week</t>
  </si>
  <si>
    <t xml:space="preserve">Likely per day</t>
  </si>
  <si>
    <t xml:space="preserve">Actual avg (entered days)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</si>
  <si>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</si>
  <si>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</si>
  <si>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</si>
  <si>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</si>
  <si>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</si>
  <si>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</si>
  <si>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</si>
  <si>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April check: forecast made from Jan–Mar only, compared with real April sessions</t>
  </si>
  <si>
    <t xml:space="preserve">The model never saw these days. Low/High = 80% range.</t>
  </si>
  <si>
    <t xml:space="preserve">Low</t>
  </si>
  <si>
    <t xml:space="preserve">Forecast</t>
  </si>
  <si>
    <t xml:space="preserve">High</t>
  </si>
  <si>
    <t xml:space="preserve">Actual</t>
  </si>
  <si>
    <t xml:space="preserve">Actual − forecast</t>
  </si>
  <si>
    <t xml:space="preserve">Days on track</t>
  </si>
  <si>
    <t xml:space="preserve">April total</t>
  </si>
  <si>
    <t xml:space="preserve">Total error</t>
  </si>
  <si>
    <t xml:space="preserve">Failed membership payments by month</t>
  </si>
  <si>
    <t xml:space="preserve">Jan–Apr filled from the booking system. Enter May onwards in the yellow cells.</t>
  </si>
  <si>
    <t xml:space="preserve">Month</t>
  </si>
  <si>
    <t xml:space="preserve">Paying members</t>
  </si>
  <si>
    <t xml:space="preserve">Membership income (£)</t>
  </si>
  <si>
    <t xml:space="preserve">Failed attempts (£)</t>
  </si>
  <si>
    <t xml:space="preserve">Failed as % of income</t>
  </si>
  <si>
    <t xml:space="preserve">Jan 2026</t>
  </si>
  <si>
    <t xml:space="preserve">Feb 2026</t>
  </si>
  <si>
    <t xml:space="preserve">Mar 2026</t>
  </si>
  <si>
    <t xml:space="preserve">Apr 2026</t>
  </si>
  <si>
    <t xml:space="preserve">May 2026</t>
  </si>
  <si>
    <t xml:space="preserve">Jun 2026</t>
  </si>
  <si>
    <t xml:space="preserve">Jul 2026</t>
  </si>
  <si>
    <t xml:space="preserve">Aug 2026</t>
  </si>
  <si>
    <t xml:space="preserve">Jan–Apr: 120 failed charges; 73 paid within 14 days on retry; 47 never recovered = £2,249 from 9 members.</t>
  </si>
  <si>
    <t xml:space="preserve">Failed attempts include retries, so the same missed payment can count more than once.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</si>
</sst>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d\ d\ mmm"/>
    <numFmt numFmtId="166" formatCode="#,##0"/>
    <numFmt numFmtId="167" formatCode="\+0%;\-0%"/>
    <numFmt numFmtId="168" formatCode="d\ mmm\ yyyy"/>
    <numFmt numFmtId="169" formatCode="0"/>
    <numFmt numFmtId="170" formatCode="0.0"/>
    <numFmt numFmtId="171" formatCode="\+0.0;\-0.0"/>
    <numFmt numFmtId="172" formatCode="0%"/>
    <numFmt numFmtId="173" formatCode="\+0.0%;\-0.0%"/>
    <numFmt numFmtId="174" formatCode="\£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6B6A66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5CAB"/>
        <bgColor rgb="FF3366FF"/>
      </patternFill>
    </fill>
    <fill>
      <patternFill patternType="solid">
        <fgColor rgb="FFFFF4C2"/>
        <bgColor rgb="FFFDEBC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8D3"/>
      </left>
      <right style="thin">
        <color rgb="FFD9D8D3"/>
      </right>
      <top style="thin">
        <color rgb="FFD9D8D3"/>
      </top>
      <bottom style="thin">
        <color rgb="FFD9D8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9F2D9"/>
        </patternFill>
      </fill>
    </dxf>
    <dxf>
      <fill>
        <patternFill>
          <bgColor rgb="FFF9D6D5"/>
        </patternFill>
      </fill>
    </dxf>
    <dxf>
      <fill>
        <patternFill>
          <bgColor rgb="FFFDEB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CCFFFF"/>
      <rgbColor rgb="FF660066"/>
      <rgbColor rgb="FFFF8080"/>
      <rgbColor rgb="FF1C5CAB"/>
      <rgbColor rgb="FFD9D8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9"/>
      <rgbColor rgb="FFFDEBC8"/>
      <rgbColor rgb="FF99CCFF"/>
      <rgbColor rgb="FFFF99CC"/>
      <rgbColor rgb="FFCC99FF"/>
      <rgbColor rgb="FFF9D6D5"/>
      <rgbColor rgb="FF3366FF"/>
      <rgbColor rgb="FF33CCCC"/>
      <rgbColor rgb="FF99CC00"/>
      <rgbColor rgb="FFFFCC00"/>
      <rgbColor rgb="FFFF9900"/>
      <rgbColor rgb="FFFF6600"/>
      <rgbColor rgb="FF6B6A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7.35" hidden="false" customHeight="false" outlineLevel="0" collapsed="false">
      <c r="A1" s="1" t="s">
        <v>0</v>
      </c>
    </row>
    <row r="2" customFormat="false" ht="26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6.8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26.8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10</v>
      </c>
    </row>
    <row r="15" customFormat="false" ht="15" hidden="false" customHeight="false" outlineLevel="0" collapsed="false">
      <c r="A15" s="3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26.85" hidden="false" customHeight="false" outlineLevel="0" collapsed="false">
      <c r="A21" s="3" t="s">
        <v>16</v>
      </c>
    </row>
    <row r="22" customFormat="false" ht="26.8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5" min="3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1" min="9" style="0" width="12"/>
  </cols>
  <sheetData>
    <row r="1" customFormat="false" ht="17.35" hidden="false" customHeight="false" outlineLevel="0" collapsed="false">
      <c r="A1" s="5" t="s">
        <v>18</v>
      </c>
    </row>
    <row r="2" customFormat="false" ht="15" hidden="false" customHeight="false" outlineLevel="0" collapsed="false">
      <c r="A2" s="6" t="s">
        <v>19</v>
      </c>
    </row>
    <row r="4" customFormat="false" ht="31.5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26</v>
      </c>
      <c r="H4" s="7" t="s">
        <v>27</v>
      </c>
      <c r="I4" s="7" t="s">
        <v>28</v>
      </c>
      <c r="J4" s="7" t="s">
        <v>29</v>
      </c>
      <c r="K4" s="7" t="s">
        <v>30</v>
      </c>
    </row>
    <row r="5" customFormat="false" ht="15" hidden="false" customHeight="false" outlineLevel="0" collapsed="false">
      <c r="A5" s="8" t="n">
        <v>46141</v>
      </c>
      <c r="B5" s="8" t="n">
        <v>46147</v>
      </c>
      <c r="C5" s="9" t="n">
        <v>152</v>
      </c>
      <c r="D5" s="9" t="n">
        <v>197</v>
      </c>
      <c r="E5" s="9" t="n">
        <v>252</v>
      </c>
      <c r="F5" s="10"/>
      <c r="G5" s="11" t="str">
        <f aca="false">IF(F5="","",F5/D5-1)</f>
        <v/>
      </c>
      <c r="H5" s="12" t="str">
        <f aca="false">IF(F5="","",IF(F5&gt;E5,"Busier than expected",IF(F5&lt;C5,"Quieter than expected","On track")))</f>
        <v/>
      </c>
      <c r="I5" s="9" t="str">
        <f aca="false">IF(F5="","",SUMIFS($D$5:D5,$F$5:F5,"&lt;&gt;"))</f>
        <v/>
      </c>
      <c r="J5" s="9" t="str">
        <f aca="false">IF(F5="","",SUM($F$5:F5))</f>
        <v/>
      </c>
      <c r="K5" s="11" t="str">
        <f aca="false">IF(F5="","",J5/I5-1)</f>
        <v/>
      </c>
    </row>
    <row r="6" customFormat="false" ht="15" hidden="false" customHeight="false" outlineLevel="0" collapsed="false">
      <c r="A6" s="8" t="n">
        <v>46148</v>
      </c>
      <c r="B6" s="8" t="n">
        <v>46154</v>
      </c>
      <c r="C6" s="9" t="n">
        <v>155</v>
      </c>
      <c r="D6" s="9" t="n">
        <v>198</v>
      </c>
      <c r="E6" s="9" t="n">
        <v>254</v>
      </c>
      <c r="F6" s="10"/>
      <c r="G6" s="11" t="str">
        <f aca="false">IF(F6="","",F6/D6-1)</f>
        <v/>
      </c>
      <c r="H6" s="12" t="str">
        <f aca="false">IF(F6="","",IF(F6&gt;E6,"Busier than expected",IF(F6&lt;C6,"Quieter than expected","On track")))</f>
        <v/>
      </c>
      <c r="I6" s="9" t="str">
        <f aca="false">IF(F6="","",SUMIFS($D$5:D6,$F$5:F6,"&lt;&gt;"))</f>
        <v/>
      </c>
      <c r="J6" s="9" t="str">
        <f aca="false">IF(F6="","",SUM($F$5:F6))</f>
        <v/>
      </c>
      <c r="K6" s="11" t="str">
        <f aca="false">IF(F6="","",J6/I6-1)</f>
        <v/>
      </c>
    </row>
    <row r="7" customFormat="false" ht="15" hidden="false" customHeight="false" outlineLevel="0" collapsed="false">
      <c r="A7" s="8" t="n">
        <v>46155</v>
      </c>
      <c r="B7" s="8" t="n">
        <v>46161</v>
      </c>
      <c r="C7" s="9" t="n">
        <v>152</v>
      </c>
      <c r="D7" s="9" t="n">
        <v>197</v>
      </c>
      <c r="E7" s="9" t="n">
        <v>253</v>
      </c>
      <c r="F7" s="10"/>
      <c r="G7" s="11" t="str">
        <f aca="false">IF(F7="","",F7/D7-1)</f>
        <v/>
      </c>
      <c r="H7" s="12" t="str">
        <f aca="false">IF(F7="","",IF(F7&gt;E7,"Busier than expected",IF(F7&lt;C7,"Quieter than expected","On track")))</f>
        <v/>
      </c>
      <c r="I7" s="9" t="str">
        <f aca="false">IF(F7="","",SUMIFS($D$5:D7,$F$5:F7,"&lt;&gt;"))</f>
        <v/>
      </c>
      <c r="J7" s="9" t="str">
        <f aca="false">IF(F7="","",SUM($F$5:F7))</f>
        <v/>
      </c>
      <c r="K7" s="11" t="str">
        <f aca="false">IF(F7="","",J7/I7-1)</f>
        <v/>
      </c>
    </row>
    <row r="8" customFormat="false" ht="15" hidden="false" customHeight="false" outlineLevel="0" collapsed="false">
      <c r="A8" s="8" t="n">
        <v>46162</v>
      </c>
      <c r="B8" s="8" t="n">
        <v>46168</v>
      </c>
      <c r="C8" s="9" t="n">
        <v>152</v>
      </c>
      <c r="D8" s="9" t="n">
        <v>196</v>
      </c>
      <c r="E8" s="9" t="n">
        <v>250</v>
      </c>
      <c r="F8" s="10"/>
      <c r="G8" s="11" t="str">
        <f aca="false">IF(F8="","",F8/D8-1)</f>
        <v/>
      </c>
      <c r="H8" s="12" t="str">
        <f aca="false">IF(F8="","",IF(F8&gt;E8,"Busier than expected",IF(F8&lt;C8,"Quieter than expected","On track")))</f>
        <v/>
      </c>
      <c r="I8" s="9" t="str">
        <f aca="false">IF(F8="","",SUMIFS($D$5:D8,$F$5:F8,"&lt;&gt;"))</f>
        <v/>
      </c>
      <c r="J8" s="9" t="str">
        <f aca="false">IF(F8="","",SUM($F$5:F8))</f>
        <v/>
      </c>
      <c r="K8" s="11" t="str">
        <f aca="false">IF(F8="","",J8/I8-1)</f>
        <v/>
      </c>
    </row>
    <row r="9" customFormat="false" ht="15" hidden="false" customHeight="false" outlineLevel="0" collapsed="false">
      <c r="A9" s="8" t="n">
        <v>46169</v>
      </c>
      <c r="B9" s="8" t="n">
        <v>46175</v>
      </c>
      <c r="C9" s="9" t="n">
        <v>151</v>
      </c>
      <c r="D9" s="9" t="n">
        <v>196</v>
      </c>
      <c r="E9" s="9" t="n">
        <v>252</v>
      </c>
      <c r="F9" s="10"/>
      <c r="G9" s="11" t="str">
        <f aca="false">IF(F9="","",F9/D9-1)</f>
        <v/>
      </c>
      <c r="H9" s="12" t="str">
        <f aca="false">IF(F9="","",IF(F9&gt;E9,"Busier than expected",IF(F9&lt;C9,"Quieter than expected","On track")))</f>
        <v/>
      </c>
      <c r="I9" s="9" t="str">
        <f aca="false">IF(F9="","",SUMIFS($D$5:D9,$F$5:F9,"&lt;&gt;"))</f>
        <v/>
      </c>
      <c r="J9" s="9" t="str">
        <f aca="false">IF(F9="","",SUM($F$5:F9))</f>
        <v/>
      </c>
      <c r="K9" s="11" t="str">
        <f aca="false">IF(F9="","",J9/I9-1)</f>
        <v/>
      </c>
    </row>
    <row r="10" customFormat="false" ht="15" hidden="false" customHeight="false" outlineLevel="0" collapsed="false">
      <c r="A10" s="8" t="n">
        <v>46176</v>
      </c>
      <c r="B10" s="8" t="n">
        <v>46182</v>
      </c>
      <c r="C10" s="9" t="n">
        <v>153</v>
      </c>
      <c r="D10" s="9" t="n">
        <v>197</v>
      </c>
      <c r="E10" s="9" t="n">
        <v>251</v>
      </c>
      <c r="F10" s="10"/>
      <c r="G10" s="11" t="str">
        <f aca="false">IF(F10="","",F10/D10-1)</f>
        <v/>
      </c>
      <c r="H10" s="12" t="str">
        <f aca="false">IF(F10="","",IF(F10&gt;E10,"Busier than expected",IF(F10&lt;C10,"Quieter than expected","On track")))</f>
        <v/>
      </c>
      <c r="I10" s="9" t="str">
        <f aca="false">IF(F10="","",SUMIFS($D$5:D10,$F$5:F10,"&lt;&gt;"))</f>
        <v/>
      </c>
      <c r="J10" s="9" t="str">
        <f aca="false">IF(F10="","",SUM($F$5:F10))</f>
        <v/>
      </c>
      <c r="K10" s="11" t="str">
        <f aca="false">IF(F10="","",J10/I10-1)</f>
        <v/>
      </c>
    </row>
    <row r="11" customFormat="false" ht="15" hidden="false" customHeight="false" outlineLevel="0" collapsed="false">
      <c r="A11" s="8" t="n">
        <v>46183</v>
      </c>
      <c r="B11" s="8" t="n">
        <v>46189</v>
      </c>
      <c r="C11" s="9" t="n">
        <v>151</v>
      </c>
      <c r="D11" s="9" t="n">
        <v>195</v>
      </c>
      <c r="E11" s="9" t="n">
        <v>250</v>
      </c>
      <c r="F11" s="10"/>
      <c r="G11" s="11" t="str">
        <f aca="false">IF(F11="","",F11/D11-1)</f>
        <v/>
      </c>
      <c r="H11" s="12" t="str">
        <f aca="false">IF(F11="","",IF(F11&gt;E11,"Busier than expected",IF(F11&lt;C11,"Quieter than expected","On track")))</f>
        <v/>
      </c>
      <c r="I11" s="9" t="str">
        <f aca="false">IF(F11="","",SUMIFS($D$5:D11,$F$5:F11,"&lt;&gt;"))</f>
        <v/>
      </c>
      <c r="J11" s="9" t="str">
        <f aca="false">IF(F11="","",SUM($F$5:F11))</f>
        <v/>
      </c>
      <c r="K11" s="11" t="str">
        <f aca="false">IF(F11="","",J11/I11-1)</f>
        <v/>
      </c>
    </row>
    <row r="12" customFormat="false" ht="15" hidden="false" customHeight="false" outlineLevel="0" collapsed="false">
      <c r="A12" s="8" t="n">
        <v>46190</v>
      </c>
      <c r="B12" s="8" t="n">
        <v>46196</v>
      </c>
      <c r="C12" s="9" t="n">
        <v>150</v>
      </c>
      <c r="D12" s="9" t="n">
        <v>197</v>
      </c>
      <c r="E12" s="9" t="n">
        <v>252</v>
      </c>
      <c r="F12" s="10"/>
      <c r="G12" s="11" t="str">
        <f aca="false">IF(F12="","",F12/D12-1)</f>
        <v/>
      </c>
      <c r="H12" s="12" t="str">
        <f aca="false">IF(F12="","",IF(F12&gt;E12,"Busier than expected",IF(F12&lt;C12,"Quieter than expected","On track")))</f>
        <v/>
      </c>
      <c r="I12" s="9" t="str">
        <f aca="false">IF(F12="","",SUMIFS($D$5:D12,$F$5:F12,"&lt;&gt;"))</f>
        <v/>
      </c>
      <c r="J12" s="9" t="str">
        <f aca="false">IF(F12="","",SUM($F$5:F12))</f>
        <v/>
      </c>
      <c r="K12" s="11" t="str">
        <f aca="false">IF(F12="","",J12/I12-1)</f>
        <v/>
      </c>
    </row>
    <row r="14" customFormat="false" ht="15" hidden="false" customHeight="false" outlineLevel="0" collapsed="false">
      <c r="A14" s="13" t="s">
        <v>31</v>
      </c>
      <c r="D14" s="14" t="n">
        <f aca="false">SUM(D5:D12)</f>
        <v>1573</v>
      </c>
      <c r="F14" s="14" t="str">
        <f aca="false">IF(COUNT(F5:F12)=0,"",SUM(F5:F12))</f>
        <v/>
      </c>
    </row>
    <row r="15" customFormat="false" ht="15" hidden="false" customHeight="false" outlineLevel="0" collapsed="false">
      <c r="A15" s="6" t="s">
        <v>32</v>
      </c>
    </row>
  </sheetData>
  <conditionalFormatting sqref="H5:H12">
    <cfRule type="expression" priority="2" aboveAverage="0" equalAverage="0" bottom="0" percent="0" rank="0" text="" dxfId="0">
      <formula>$H5="On track"</formula>
    </cfRule>
    <cfRule type="expression" priority="3" aboveAverage="0" equalAverage="0" bottom="0" percent="0" rank="0" text="" dxfId="1">
      <formula>$H5="Busier than expected"</formula>
    </cfRule>
    <cfRule type="expression" priority="4" aboveAverage="0" equalAverage="0" bottom="0" percent="0" rank="0" text="" dxfId="2">
      <formula>$H5="Quieter than expected"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6" t="s">
        <v>34</v>
      </c>
    </row>
    <row r="4" customFormat="false" ht="31.5" hidden="false" customHeight="true" outlineLevel="0" collapsed="false">
      <c r="A4" s="7" t="s">
        <v>35</v>
      </c>
      <c r="B4" s="7" t="s">
        <v>36</v>
      </c>
      <c r="C4" s="7" t="s">
        <v>22</v>
      </c>
      <c r="D4" s="7" t="s">
        <v>23</v>
      </c>
      <c r="E4" s="7" t="s">
        <v>24</v>
      </c>
      <c r="F4" s="7" t="s">
        <v>25</v>
      </c>
      <c r="G4" s="7" t="s">
        <v>27</v>
      </c>
    </row>
    <row r="5" customFormat="false" ht="15" hidden="false" customHeight="false" outlineLevel="0" collapsed="false">
      <c r="A5" s="15" t="n">
        <v>46141</v>
      </c>
      <c r="B5" s="12" t="str">
        <f aca="false">TEXT(A5,"ddd")</f>
        <v>Wed</v>
      </c>
      <c r="C5" s="16" t="n">
        <v>16</v>
      </c>
      <c r="D5" s="17" t="n">
        <v>29</v>
      </c>
      <c r="E5" s="16" t="n">
        <v>45</v>
      </c>
      <c r="F5" s="18"/>
      <c r="G5" s="12" t="str">
        <f aca="false">IF(F5="","",IF(F5&gt;E5,"Busier than expected",IF(F5&lt;C5,"Quieter than expected","On track")))</f>
        <v/>
      </c>
    </row>
    <row r="6" customFormat="false" ht="15" hidden="false" customHeight="false" outlineLevel="0" collapsed="false">
      <c r="A6" s="15" t="n">
        <v>46142</v>
      </c>
      <c r="B6" s="12" t="str">
        <f aca="false">TEXT(A6,"ddd")</f>
        <v>Thu</v>
      </c>
      <c r="C6" s="16" t="n">
        <v>9</v>
      </c>
      <c r="D6" s="17" t="n">
        <v>16.7</v>
      </c>
      <c r="E6" s="16" t="n">
        <v>27</v>
      </c>
      <c r="F6" s="18"/>
      <c r="G6" s="12" t="str">
        <f aca="false">IF(F6="","",IF(F6&gt;E6,"Busier than expected",IF(F6&lt;C6,"Quieter than expected","On track")))</f>
        <v/>
      </c>
    </row>
    <row r="7" customFormat="false" ht="15" hidden="false" customHeight="false" outlineLevel="0" collapsed="false">
      <c r="A7" s="15" t="n">
        <v>46143</v>
      </c>
      <c r="B7" s="12" t="str">
        <f aca="false">TEXT(A7,"ddd")</f>
        <v>Fri</v>
      </c>
      <c r="C7" s="16" t="n">
        <v>20</v>
      </c>
      <c r="D7" s="17" t="n">
        <v>35.5</v>
      </c>
      <c r="E7" s="16" t="n">
        <v>54</v>
      </c>
      <c r="F7" s="18"/>
      <c r="G7" s="12" t="str">
        <f aca="false">IF(F7="","",IF(F7&gt;E7,"Busier than expected",IF(F7&lt;C7,"Quieter than expected","On track")))</f>
        <v/>
      </c>
    </row>
    <row r="8" customFormat="false" ht="15" hidden="false" customHeight="false" outlineLevel="0" collapsed="false">
      <c r="A8" s="15" t="n">
        <v>46144</v>
      </c>
      <c r="B8" s="12" t="str">
        <f aca="false">TEXT(A8,"ddd")</f>
        <v>Sat</v>
      </c>
      <c r="C8" s="16" t="n">
        <v>22</v>
      </c>
      <c r="D8" s="17" t="n">
        <v>39.1</v>
      </c>
      <c r="E8" s="16" t="n">
        <v>59</v>
      </c>
      <c r="F8" s="18"/>
      <c r="G8" s="12" t="str">
        <f aca="false">IF(F8="","",IF(F8&gt;E8,"Busier than expected",IF(F8&lt;C8,"Quieter than expected","On track")))</f>
        <v/>
      </c>
    </row>
    <row r="9" customFormat="false" ht="15" hidden="false" customHeight="false" outlineLevel="0" collapsed="false">
      <c r="A9" s="15" t="n">
        <v>46145</v>
      </c>
      <c r="B9" s="12" t="str">
        <f aca="false">TEXT(A9,"ddd")</f>
        <v>Sun</v>
      </c>
      <c r="C9" s="16" t="n">
        <v>22</v>
      </c>
      <c r="D9" s="17" t="n">
        <v>38.9</v>
      </c>
      <c r="E9" s="16" t="n">
        <v>59</v>
      </c>
      <c r="F9" s="18"/>
      <c r="G9" s="12" t="str">
        <f aca="false">IF(F9="","",IF(F9&gt;E9,"Busier than expected",IF(F9&lt;C9,"Quieter than expected","On track")))</f>
        <v/>
      </c>
    </row>
    <row r="10" customFormat="false" ht="15" hidden="false" customHeight="false" outlineLevel="0" collapsed="false">
      <c r="A10" s="15" t="n">
        <v>46146</v>
      </c>
      <c r="B10" s="12" t="str">
        <f aca="false">TEXT(A10,"ddd")</f>
        <v>Mon</v>
      </c>
      <c r="C10" s="16" t="n">
        <v>16</v>
      </c>
      <c r="D10" s="17" t="n">
        <v>29.6</v>
      </c>
      <c r="E10" s="16" t="n">
        <v>45</v>
      </c>
      <c r="F10" s="18"/>
      <c r="G10" s="12" t="str">
        <f aca="false">IF(F10="","",IF(F10&gt;E10,"Busier than expected",IF(F10&lt;C10,"Quieter than expected","On track")))</f>
        <v/>
      </c>
    </row>
    <row r="11" customFormat="false" ht="15" hidden="false" customHeight="false" outlineLevel="0" collapsed="false">
      <c r="A11" s="15" t="n">
        <v>46147</v>
      </c>
      <c r="B11" s="12" t="str">
        <f aca="false">TEXT(A11,"ddd")</f>
        <v>Tue</v>
      </c>
      <c r="C11" s="16" t="n">
        <v>4</v>
      </c>
      <c r="D11" s="17" t="n">
        <v>9.8</v>
      </c>
      <c r="E11" s="16" t="n">
        <v>16</v>
      </c>
      <c r="F11" s="18"/>
      <c r="G11" s="12" t="str">
        <f aca="false">IF(F11="","",IF(F11&gt;E11,"Busier than expected",IF(F11&lt;C11,"Quieter than expected","On track")))</f>
        <v/>
      </c>
    </row>
    <row r="12" customFormat="false" ht="15" hidden="false" customHeight="false" outlineLevel="0" collapsed="false">
      <c r="A12" s="15" t="n">
        <v>46148</v>
      </c>
      <c r="B12" s="12" t="str">
        <f aca="false">TEXT(A12,"ddd")</f>
        <v>Wed</v>
      </c>
      <c r="C12" s="16" t="n">
        <v>16</v>
      </c>
      <c r="D12" s="17" t="n">
        <v>28.9</v>
      </c>
      <c r="E12" s="16" t="n">
        <v>44</v>
      </c>
      <c r="F12" s="18"/>
      <c r="G12" s="12" t="str">
        <f aca="false">IF(F12="","",IF(F12&gt;E12,"Busier than expected",IF(F12&lt;C12,"Quieter than expected","On track")))</f>
        <v/>
      </c>
    </row>
    <row r="13" customFormat="false" ht="15" hidden="false" customHeight="false" outlineLevel="0" collapsed="false">
      <c r="A13" s="15" t="n">
        <v>46149</v>
      </c>
      <c r="B13" s="12" t="str">
        <f aca="false">TEXT(A13,"ddd")</f>
        <v>Thu</v>
      </c>
      <c r="C13" s="16" t="n">
        <v>9</v>
      </c>
      <c r="D13" s="17" t="n">
        <v>16.7</v>
      </c>
      <c r="E13" s="16" t="n">
        <v>26</v>
      </c>
      <c r="F13" s="18"/>
      <c r="G13" s="12" t="str">
        <f aca="false">IF(F13="","",IF(F13&gt;E13,"Busier than expected",IF(F13&lt;C13,"Quieter than expected","On track")))</f>
        <v/>
      </c>
    </row>
    <row r="14" customFormat="false" ht="15" hidden="false" customHeight="false" outlineLevel="0" collapsed="false">
      <c r="A14" s="15" t="n">
        <v>46150</v>
      </c>
      <c r="B14" s="12" t="str">
        <f aca="false">TEXT(A14,"ddd")</f>
        <v>Fri</v>
      </c>
      <c r="C14" s="16" t="n">
        <v>20</v>
      </c>
      <c r="D14" s="17" t="n">
        <v>35.4</v>
      </c>
      <c r="E14" s="16" t="n">
        <v>54</v>
      </c>
      <c r="F14" s="18"/>
      <c r="G14" s="12" t="str">
        <f aca="false">IF(F14="","",IF(F14&gt;E14,"Busier than expected",IF(F14&lt;C14,"Quieter than expected","On track")))</f>
        <v/>
      </c>
    </row>
    <row r="15" customFormat="false" ht="15" hidden="false" customHeight="false" outlineLevel="0" collapsed="false">
      <c r="A15" s="15" t="n">
        <v>46151</v>
      </c>
      <c r="B15" s="12" t="str">
        <f aca="false">TEXT(A15,"ddd")</f>
        <v>Sat</v>
      </c>
      <c r="C15" s="16" t="n">
        <v>22</v>
      </c>
      <c r="D15" s="17" t="n">
        <v>39</v>
      </c>
      <c r="E15" s="16" t="n">
        <v>58</v>
      </c>
      <c r="F15" s="18"/>
      <c r="G15" s="12" t="str">
        <f aca="false">IF(F15="","",IF(F15&gt;E15,"Busier than expected",IF(F15&lt;C15,"Quieter than expected","On track")))</f>
        <v/>
      </c>
    </row>
    <row r="16" customFormat="false" ht="15" hidden="false" customHeight="false" outlineLevel="0" collapsed="false">
      <c r="A16" s="15" t="n">
        <v>46152</v>
      </c>
      <c r="B16" s="12" t="str">
        <f aca="false">TEXT(A16,"ddd")</f>
        <v>Sun</v>
      </c>
      <c r="C16" s="16" t="n">
        <v>22</v>
      </c>
      <c r="D16" s="17" t="n">
        <v>38.8</v>
      </c>
      <c r="E16" s="16" t="n">
        <v>59</v>
      </c>
      <c r="F16" s="18"/>
      <c r="G16" s="12" t="str">
        <f aca="false">IF(F16="","",IF(F16&gt;E16,"Busier than expected",IF(F16&lt;C16,"Quieter than expected","On track")))</f>
        <v/>
      </c>
    </row>
    <row r="17" customFormat="false" ht="15" hidden="false" customHeight="false" outlineLevel="0" collapsed="false">
      <c r="A17" s="15" t="n">
        <v>46153</v>
      </c>
      <c r="B17" s="12" t="str">
        <f aca="false">TEXT(A17,"ddd")</f>
        <v>Mon</v>
      </c>
      <c r="C17" s="16" t="n">
        <v>16</v>
      </c>
      <c r="D17" s="17" t="n">
        <v>29.5</v>
      </c>
      <c r="E17" s="16" t="n">
        <v>46</v>
      </c>
      <c r="F17" s="18"/>
      <c r="G17" s="12" t="str">
        <f aca="false">IF(F17="","",IF(F17&gt;E17,"Busier than expected",IF(F17&lt;C17,"Quieter than expected","On track")))</f>
        <v/>
      </c>
    </row>
    <row r="18" customFormat="false" ht="15" hidden="false" customHeight="false" outlineLevel="0" collapsed="false">
      <c r="A18" s="15" t="n">
        <v>46154</v>
      </c>
      <c r="B18" s="12" t="str">
        <f aca="false">TEXT(A18,"ddd")</f>
        <v>Tue</v>
      </c>
      <c r="C18" s="16" t="n">
        <v>4</v>
      </c>
      <c r="D18" s="17" t="n">
        <v>9.8</v>
      </c>
      <c r="E18" s="16" t="n">
        <v>16</v>
      </c>
      <c r="F18" s="18"/>
      <c r="G18" s="12" t="str">
        <f aca="false">IF(F18="","",IF(F18&gt;E18,"Busier than expected",IF(F18&lt;C18,"Quieter than expected","On track")))</f>
        <v/>
      </c>
    </row>
    <row r="19" customFormat="false" ht="15" hidden="false" customHeight="false" outlineLevel="0" collapsed="false">
      <c r="A19" s="15" t="n">
        <v>46155</v>
      </c>
      <c r="B19" s="12" t="str">
        <f aca="false">TEXT(A19,"ddd")</f>
        <v>Wed</v>
      </c>
      <c r="C19" s="16" t="n">
        <v>16</v>
      </c>
      <c r="D19" s="17" t="n">
        <v>28.9</v>
      </c>
      <c r="E19" s="16" t="n">
        <v>45</v>
      </c>
      <c r="F19" s="18"/>
      <c r="G19" s="12" t="str">
        <f aca="false">IF(F19="","",IF(F19&gt;E19,"Busier than expected",IF(F19&lt;C19,"Quieter than expected","On track")))</f>
        <v/>
      </c>
    </row>
    <row r="20" customFormat="false" ht="15" hidden="false" customHeight="false" outlineLevel="0" collapsed="false">
      <c r="A20" s="15" t="n">
        <v>46156</v>
      </c>
      <c r="B20" s="12" t="str">
        <f aca="false">TEXT(A20,"ddd")</f>
        <v>Thu</v>
      </c>
      <c r="C20" s="16" t="n">
        <v>9</v>
      </c>
      <c r="D20" s="17" t="n">
        <v>16.7</v>
      </c>
      <c r="E20" s="16" t="n">
        <v>27</v>
      </c>
      <c r="F20" s="18"/>
      <c r="G20" s="12" t="str">
        <f aca="false">IF(F20="","",IF(F20&gt;E20,"Busier than expected",IF(F20&lt;C20,"Quieter than expected","On track")))</f>
        <v/>
      </c>
    </row>
    <row r="21" customFormat="false" ht="15" hidden="false" customHeight="false" outlineLevel="0" collapsed="false">
      <c r="A21" s="15" t="n">
        <v>46157</v>
      </c>
      <c r="B21" s="12" t="str">
        <f aca="false">TEXT(A21,"ddd")</f>
        <v>Fri</v>
      </c>
      <c r="C21" s="16" t="n">
        <v>20</v>
      </c>
      <c r="D21" s="17" t="n">
        <v>35.4</v>
      </c>
      <c r="E21" s="16" t="n">
        <v>54</v>
      </c>
      <c r="F21" s="18"/>
      <c r="G21" s="12" t="str">
        <f aca="false">IF(F21="","",IF(F21&gt;E21,"Busier than expected",IF(F21&lt;C21,"Quieter than expected","On track")))</f>
        <v/>
      </c>
    </row>
    <row r="22" customFormat="false" ht="15" hidden="false" customHeight="false" outlineLevel="0" collapsed="false">
      <c r="A22" s="15" t="n">
        <v>46158</v>
      </c>
      <c r="B22" s="12" t="str">
        <f aca="false">TEXT(A22,"ddd")</f>
        <v>Sat</v>
      </c>
      <c r="C22" s="16" t="n">
        <v>22</v>
      </c>
      <c r="D22" s="17" t="n">
        <v>39</v>
      </c>
      <c r="E22" s="16" t="n">
        <v>59</v>
      </c>
      <c r="F22" s="18"/>
      <c r="G22" s="12" t="str">
        <f aca="false">IF(F22="","",IF(F22&gt;E22,"Busier than expected",IF(F22&lt;C22,"Quieter than expected","On track")))</f>
        <v/>
      </c>
    </row>
    <row r="23" customFormat="false" ht="15" hidden="false" customHeight="false" outlineLevel="0" collapsed="false">
      <c r="A23" s="15" t="n">
        <v>46159</v>
      </c>
      <c r="B23" s="12" t="str">
        <f aca="false">TEXT(A23,"ddd")</f>
        <v>Sun</v>
      </c>
      <c r="C23" s="16" t="n">
        <v>22</v>
      </c>
      <c r="D23" s="17" t="n">
        <v>38.8</v>
      </c>
      <c r="E23" s="16" t="n">
        <v>60</v>
      </c>
      <c r="F23" s="18"/>
      <c r="G23" s="12" t="str">
        <f aca="false">IF(F23="","",IF(F23&gt;E23,"Busier than expected",IF(F23&lt;C23,"Quieter than expected","On track")))</f>
        <v/>
      </c>
    </row>
    <row r="24" customFormat="false" ht="15" hidden="false" customHeight="false" outlineLevel="0" collapsed="false">
      <c r="A24" s="15" t="n">
        <v>46160</v>
      </c>
      <c r="B24" s="12" t="str">
        <f aca="false">TEXT(A24,"ddd")</f>
        <v>Mon</v>
      </c>
      <c r="C24" s="16" t="n">
        <v>16</v>
      </c>
      <c r="D24" s="17" t="n">
        <v>29.5</v>
      </c>
      <c r="E24" s="16" t="n">
        <v>45</v>
      </c>
      <c r="F24" s="18"/>
      <c r="G24" s="12" t="str">
        <f aca="false">IF(F24="","",IF(F24&gt;E24,"Busier than expected",IF(F24&lt;C24,"Quieter than expected","On track")))</f>
        <v/>
      </c>
    </row>
    <row r="25" customFormat="false" ht="15" hidden="false" customHeight="false" outlineLevel="0" collapsed="false">
      <c r="A25" s="15" t="n">
        <v>46161</v>
      </c>
      <c r="B25" s="12" t="str">
        <f aca="false">TEXT(A25,"ddd")</f>
        <v>Tue</v>
      </c>
      <c r="C25" s="16" t="n">
        <v>5</v>
      </c>
      <c r="D25" s="17" t="n">
        <v>9.8</v>
      </c>
      <c r="E25" s="16" t="n">
        <v>16</v>
      </c>
      <c r="F25" s="18"/>
      <c r="G25" s="12" t="str">
        <f aca="false">IF(F25="","",IF(F25&gt;E25,"Busier than expected",IF(F25&lt;C25,"Quieter than expected","On track")))</f>
        <v/>
      </c>
    </row>
    <row r="26" customFormat="false" ht="15" hidden="false" customHeight="false" outlineLevel="0" collapsed="false">
      <c r="A26" s="15" t="n">
        <v>46162</v>
      </c>
      <c r="B26" s="12" t="str">
        <f aca="false">TEXT(A26,"ddd")</f>
        <v>Wed</v>
      </c>
      <c r="C26" s="16" t="n">
        <v>16</v>
      </c>
      <c r="D26" s="17" t="n">
        <v>28.9</v>
      </c>
      <c r="E26" s="16" t="n">
        <v>44</v>
      </c>
      <c r="F26" s="18"/>
      <c r="G26" s="12" t="str">
        <f aca="false">IF(F26="","",IF(F26&gt;E26,"Busier than expected",IF(F26&lt;C26,"Quieter than expected","On track")))</f>
        <v/>
      </c>
    </row>
    <row r="27" customFormat="false" ht="15" hidden="false" customHeight="false" outlineLevel="0" collapsed="false">
      <c r="A27" s="15" t="n">
        <v>46163</v>
      </c>
      <c r="B27" s="12" t="str">
        <f aca="false">TEXT(A27,"ddd")</f>
        <v>Thu</v>
      </c>
      <c r="C27" s="16" t="n">
        <v>9</v>
      </c>
      <c r="D27" s="17" t="n">
        <v>16.7</v>
      </c>
      <c r="E27" s="16" t="n">
        <v>26</v>
      </c>
      <c r="F27" s="18"/>
      <c r="G27" s="12" t="str">
        <f aca="false">IF(F27="","",IF(F27&gt;E27,"Busier than expected",IF(F27&lt;C27,"Quieter than expected","On track")))</f>
        <v/>
      </c>
    </row>
    <row r="28" customFormat="false" ht="15" hidden="false" customHeight="false" outlineLevel="0" collapsed="false">
      <c r="A28" s="15" t="n">
        <v>46164</v>
      </c>
      <c r="B28" s="12" t="str">
        <f aca="false">TEXT(A28,"ddd")</f>
        <v>Fri</v>
      </c>
      <c r="C28" s="16" t="n">
        <v>19</v>
      </c>
      <c r="D28" s="17" t="n">
        <v>35.3</v>
      </c>
      <c r="E28" s="16" t="n">
        <v>54</v>
      </c>
      <c r="F28" s="18"/>
      <c r="G28" s="12" t="str">
        <f aca="false">IF(F28="","",IF(F28&gt;E28,"Busier than expected",IF(F28&lt;C28,"Quieter than expected","On track")))</f>
        <v/>
      </c>
    </row>
    <row r="29" customFormat="false" ht="15" hidden="false" customHeight="false" outlineLevel="0" collapsed="false">
      <c r="A29" s="15" t="n">
        <v>46165</v>
      </c>
      <c r="B29" s="12" t="str">
        <f aca="false">TEXT(A29,"ddd")</f>
        <v>Sat</v>
      </c>
      <c r="C29" s="16" t="n">
        <v>22</v>
      </c>
      <c r="D29" s="17" t="n">
        <v>38.9</v>
      </c>
      <c r="E29" s="16" t="n">
        <v>59</v>
      </c>
      <c r="F29" s="18"/>
      <c r="G29" s="12" t="str">
        <f aca="false">IF(F29="","",IF(F29&gt;E29,"Busier than expected",IF(F29&lt;C29,"Quieter than expected","On track")))</f>
        <v/>
      </c>
    </row>
    <row r="30" customFormat="false" ht="15" hidden="false" customHeight="false" outlineLevel="0" collapsed="false">
      <c r="A30" s="15" t="n">
        <v>46166</v>
      </c>
      <c r="B30" s="12" t="str">
        <f aca="false">TEXT(A30,"ddd")</f>
        <v>Sun</v>
      </c>
      <c r="C30" s="16" t="n">
        <v>21</v>
      </c>
      <c r="D30" s="17" t="n">
        <v>38.8</v>
      </c>
      <c r="E30" s="16" t="n">
        <v>59</v>
      </c>
      <c r="F30" s="18"/>
      <c r="G30" s="12" t="str">
        <f aca="false">IF(F30="","",IF(F30&gt;E30,"Busier than expected",IF(F30&lt;C30,"Quieter than expected","On track")))</f>
        <v/>
      </c>
    </row>
    <row r="31" customFormat="false" ht="15" hidden="false" customHeight="false" outlineLevel="0" collapsed="false">
      <c r="A31" s="15" t="n">
        <v>46167</v>
      </c>
      <c r="B31" s="12" t="str">
        <f aca="false">TEXT(A31,"ddd")</f>
        <v>Mon</v>
      </c>
      <c r="C31" s="16" t="n">
        <v>16</v>
      </c>
      <c r="D31" s="17" t="n">
        <v>29.5</v>
      </c>
      <c r="E31" s="16" t="n">
        <v>45</v>
      </c>
      <c r="F31" s="18"/>
      <c r="G31" s="12" t="str">
        <f aca="false">IF(F31="","",IF(F31&gt;E31,"Busier than expected",IF(F31&lt;C31,"Quieter than expected","On track")))</f>
        <v/>
      </c>
    </row>
    <row r="32" customFormat="false" ht="15" hidden="false" customHeight="false" outlineLevel="0" collapsed="false">
      <c r="A32" s="15" t="n">
        <v>46168</v>
      </c>
      <c r="B32" s="12" t="str">
        <f aca="false">TEXT(A32,"ddd")</f>
        <v>Tue</v>
      </c>
      <c r="C32" s="16" t="n">
        <v>5</v>
      </c>
      <c r="D32" s="17" t="n">
        <v>9.8</v>
      </c>
      <c r="E32" s="16" t="n">
        <v>16</v>
      </c>
      <c r="F32" s="18"/>
      <c r="G32" s="12" t="str">
        <f aca="false">IF(F32="","",IF(F32&gt;E32,"Busier than expected",IF(F32&lt;C32,"Quieter than expected","On track")))</f>
        <v/>
      </c>
    </row>
    <row r="33" customFormat="false" ht="15" hidden="false" customHeight="false" outlineLevel="0" collapsed="false">
      <c r="A33" s="15" t="n">
        <v>46169</v>
      </c>
      <c r="B33" s="12" t="str">
        <f aca="false">TEXT(A33,"ddd")</f>
        <v>Wed</v>
      </c>
      <c r="C33" s="16" t="n">
        <v>16</v>
      </c>
      <c r="D33" s="17" t="n">
        <v>28.8</v>
      </c>
      <c r="E33" s="16" t="n">
        <v>45</v>
      </c>
      <c r="F33" s="18"/>
      <c r="G33" s="12" t="str">
        <f aca="false">IF(F33="","",IF(F33&gt;E33,"Busier than expected",IF(F33&lt;C33,"Quieter than expected","On track")))</f>
        <v/>
      </c>
    </row>
    <row r="34" customFormat="false" ht="15" hidden="false" customHeight="false" outlineLevel="0" collapsed="false">
      <c r="A34" s="15" t="n">
        <v>46170</v>
      </c>
      <c r="B34" s="12" t="str">
        <f aca="false">TEXT(A34,"ddd")</f>
        <v>Thu</v>
      </c>
      <c r="C34" s="16" t="n">
        <v>8</v>
      </c>
      <c r="D34" s="17" t="n">
        <v>16.6</v>
      </c>
      <c r="E34" s="16" t="n">
        <v>26</v>
      </c>
      <c r="F34" s="18"/>
      <c r="G34" s="12" t="str">
        <f aca="false">IF(F34="","",IF(F34&gt;E34,"Busier than expected",IF(F34&lt;C34,"Quieter than expected","On track")))</f>
        <v/>
      </c>
    </row>
    <row r="35" customFormat="false" ht="15" hidden="false" customHeight="false" outlineLevel="0" collapsed="false">
      <c r="A35" s="15" t="n">
        <v>46171</v>
      </c>
      <c r="B35" s="12" t="str">
        <f aca="false">TEXT(A35,"ddd")</f>
        <v>Fri</v>
      </c>
      <c r="C35" s="16" t="n">
        <v>20</v>
      </c>
      <c r="D35" s="17" t="n">
        <v>35.3</v>
      </c>
      <c r="E35" s="16" t="n">
        <v>54</v>
      </c>
      <c r="F35" s="18"/>
      <c r="G35" s="12" t="str">
        <f aca="false">IF(F35="","",IF(F35&gt;E35,"Busier than expected",IF(F35&lt;C35,"Quieter than expected","On track")))</f>
        <v/>
      </c>
    </row>
    <row r="36" customFormat="false" ht="15" hidden="false" customHeight="false" outlineLevel="0" collapsed="false">
      <c r="A36" s="15" t="n">
        <v>46172</v>
      </c>
      <c r="B36" s="12" t="str">
        <f aca="false">TEXT(A36,"ddd")</f>
        <v>Sat</v>
      </c>
      <c r="C36" s="16" t="n">
        <v>22</v>
      </c>
      <c r="D36" s="17" t="n">
        <v>38.9</v>
      </c>
      <c r="E36" s="16" t="n">
        <v>59</v>
      </c>
      <c r="F36" s="18"/>
      <c r="G36" s="12" t="str">
        <f aca="false">IF(F36="","",IF(F36&gt;E36,"Busier than expected",IF(F36&lt;C36,"Quieter than expected","On track")))</f>
        <v/>
      </c>
    </row>
    <row r="37" customFormat="false" ht="15" hidden="false" customHeight="false" outlineLevel="0" collapsed="false">
      <c r="A37" s="15" t="n">
        <v>46173</v>
      </c>
      <c r="B37" s="12" t="str">
        <f aca="false">TEXT(A37,"ddd")</f>
        <v>Sun</v>
      </c>
      <c r="C37" s="16" t="n">
        <v>22</v>
      </c>
      <c r="D37" s="17" t="n">
        <v>38.7</v>
      </c>
      <c r="E37" s="16" t="n">
        <v>58</v>
      </c>
      <c r="F37" s="18"/>
      <c r="G37" s="12" t="str">
        <f aca="false">IF(F37="","",IF(F37&gt;E37,"Busier than expected",IF(F37&lt;C37,"Quieter than expected","On track")))</f>
        <v/>
      </c>
    </row>
    <row r="38" customFormat="false" ht="15" hidden="false" customHeight="false" outlineLevel="0" collapsed="false">
      <c r="A38" s="15" t="n">
        <v>46174</v>
      </c>
      <c r="B38" s="12" t="str">
        <f aca="false">TEXT(A38,"ddd")</f>
        <v>Mon</v>
      </c>
      <c r="C38" s="16" t="n">
        <v>16</v>
      </c>
      <c r="D38" s="17" t="n">
        <v>29.4</v>
      </c>
      <c r="E38" s="16" t="n">
        <v>45</v>
      </c>
      <c r="F38" s="18"/>
      <c r="G38" s="12" t="str">
        <f aca="false">IF(F38="","",IF(F38&gt;E38,"Busier than expected",IF(F38&lt;C38,"Quieter than expected","On track")))</f>
        <v/>
      </c>
    </row>
    <row r="39" customFormat="false" ht="15" hidden="false" customHeight="false" outlineLevel="0" collapsed="false">
      <c r="A39" s="15" t="n">
        <v>46175</v>
      </c>
      <c r="B39" s="12" t="str">
        <f aca="false">TEXT(A39,"ddd")</f>
        <v>Tue</v>
      </c>
      <c r="C39" s="16" t="n">
        <v>4</v>
      </c>
      <c r="D39" s="17" t="n">
        <v>9.8</v>
      </c>
      <c r="E39" s="16" t="n">
        <v>16</v>
      </c>
      <c r="F39" s="18"/>
      <c r="G39" s="12" t="str">
        <f aca="false">IF(F39="","",IF(F39&gt;E39,"Busier than expected",IF(F39&lt;C39,"Quieter than expected","On track")))</f>
        <v/>
      </c>
    </row>
    <row r="40" customFormat="false" ht="15" hidden="false" customHeight="false" outlineLevel="0" collapsed="false">
      <c r="A40" s="15" t="n">
        <v>46176</v>
      </c>
      <c r="B40" s="12" t="str">
        <f aca="false">TEXT(A40,"ddd")</f>
        <v>Wed</v>
      </c>
      <c r="C40" s="16" t="n">
        <v>16</v>
      </c>
      <c r="D40" s="17" t="n">
        <v>28.8</v>
      </c>
      <c r="E40" s="16" t="n">
        <v>44</v>
      </c>
      <c r="F40" s="18"/>
      <c r="G40" s="12" t="str">
        <f aca="false">IF(F40="","",IF(F40&gt;E40,"Busier than expected",IF(F40&lt;C40,"Quieter than expected","On track")))</f>
        <v/>
      </c>
    </row>
    <row r="41" customFormat="false" ht="15" hidden="false" customHeight="false" outlineLevel="0" collapsed="false">
      <c r="A41" s="15" t="n">
        <v>46177</v>
      </c>
      <c r="B41" s="12" t="str">
        <f aca="false">TEXT(A41,"ddd")</f>
        <v>Thu</v>
      </c>
      <c r="C41" s="16" t="n">
        <v>9</v>
      </c>
      <c r="D41" s="17" t="n">
        <v>16.6</v>
      </c>
      <c r="E41" s="16" t="n">
        <v>26</v>
      </c>
      <c r="F41" s="18"/>
      <c r="G41" s="12" t="str">
        <f aca="false">IF(F41="","",IF(F41&gt;E41,"Busier than expected",IF(F41&lt;C41,"Quieter than expected","On track")))</f>
        <v/>
      </c>
    </row>
    <row r="42" customFormat="false" ht="15" hidden="false" customHeight="false" outlineLevel="0" collapsed="false">
      <c r="A42" s="15" t="n">
        <v>46178</v>
      </c>
      <c r="B42" s="12" t="str">
        <f aca="false">TEXT(A42,"ddd")</f>
        <v>Fri</v>
      </c>
      <c r="C42" s="16" t="n">
        <v>20</v>
      </c>
      <c r="D42" s="17" t="n">
        <v>35.2</v>
      </c>
      <c r="E42" s="16" t="n">
        <v>54</v>
      </c>
      <c r="F42" s="18"/>
      <c r="G42" s="12" t="str">
        <f aca="false">IF(F42="","",IF(F42&gt;E42,"Busier than expected",IF(F42&lt;C42,"Quieter than expected","On track")))</f>
        <v/>
      </c>
    </row>
    <row r="43" customFormat="false" ht="15" hidden="false" customHeight="false" outlineLevel="0" collapsed="false">
      <c r="A43" s="15" t="n">
        <v>46179</v>
      </c>
      <c r="B43" s="12" t="str">
        <f aca="false">TEXT(A43,"ddd")</f>
        <v>Sat</v>
      </c>
      <c r="C43" s="16" t="n">
        <v>22</v>
      </c>
      <c r="D43" s="17" t="n">
        <v>38.8</v>
      </c>
      <c r="E43" s="16" t="n">
        <v>59</v>
      </c>
      <c r="F43" s="18"/>
      <c r="G43" s="12" t="str">
        <f aca="false">IF(F43="","",IF(F43&gt;E43,"Busier than expected",IF(F43&lt;C43,"Quieter than expected","On track")))</f>
        <v/>
      </c>
    </row>
    <row r="44" customFormat="false" ht="15" hidden="false" customHeight="false" outlineLevel="0" collapsed="false">
      <c r="A44" s="15" t="n">
        <v>46180</v>
      </c>
      <c r="B44" s="12" t="str">
        <f aca="false">TEXT(A44,"ddd")</f>
        <v>Sun</v>
      </c>
      <c r="C44" s="16" t="n">
        <v>22</v>
      </c>
      <c r="D44" s="17" t="n">
        <v>38.7</v>
      </c>
      <c r="E44" s="16" t="n">
        <v>59</v>
      </c>
      <c r="F44" s="18"/>
      <c r="G44" s="12" t="str">
        <f aca="false">IF(F44="","",IF(F44&gt;E44,"Busier than expected",IF(F44&lt;C44,"Quieter than expected","On track")))</f>
        <v/>
      </c>
    </row>
    <row r="45" customFormat="false" ht="15" hidden="false" customHeight="false" outlineLevel="0" collapsed="false">
      <c r="A45" s="15" t="n">
        <v>46181</v>
      </c>
      <c r="B45" s="12" t="str">
        <f aca="false">TEXT(A45,"ddd")</f>
        <v>Mon</v>
      </c>
      <c r="C45" s="16" t="n">
        <v>16</v>
      </c>
      <c r="D45" s="17" t="n">
        <v>29.4</v>
      </c>
      <c r="E45" s="16" t="n">
        <v>45</v>
      </c>
      <c r="F45" s="18"/>
      <c r="G45" s="12" t="str">
        <f aca="false">IF(F45="","",IF(F45&gt;E45,"Busier than expected",IF(F45&lt;C45,"Quieter than expected","On track")))</f>
        <v/>
      </c>
    </row>
    <row r="46" customFormat="false" ht="15" hidden="false" customHeight="false" outlineLevel="0" collapsed="false">
      <c r="A46" s="15" t="n">
        <v>46182</v>
      </c>
      <c r="B46" s="12" t="str">
        <f aca="false">TEXT(A46,"ddd")</f>
        <v>Tue</v>
      </c>
      <c r="C46" s="16" t="n">
        <v>5</v>
      </c>
      <c r="D46" s="17" t="n">
        <v>9.8</v>
      </c>
      <c r="E46" s="16" t="n">
        <v>16</v>
      </c>
      <c r="F46" s="18"/>
      <c r="G46" s="12" t="str">
        <f aca="false">IF(F46="","",IF(F46&gt;E46,"Busier than expected",IF(F46&lt;C46,"Quieter than expected","On track")))</f>
        <v/>
      </c>
    </row>
    <row r="47" customFormat="false" ht="15" hidden="false" customHeight="false" outlineLevel="0" collapsed="false">
      <c r="A47" s="15" t="n">
        <v>46183</v>
      </c>
      <c r="B47" s="12" t="str">
        <f aca="false">TEXT(A47,"ddd")</f>
        <v>Wed</v>
      </c>
      <c r="C47" s="16" t="n">
        <v>16</v>
      </c>
      <c r="D47" s="17" t="n">
        <v>28.8</v>
      </c>
      <c r="E47" s="16" t="n">
        <v>44</v>
      </c>
      <c r="F47" s="18"/>
      <c r="G47" s="12" t="str">
        <f aca="false">IF(F47="","",IF(F47&gt;E47,"Busier than expected",IF(F47&lt;C47,"Quieter than expected","On track")))</f>
        <v/>
      </c>
    </row>
    <row r="48" customFormat="false" ht="15" hidden="false" customHeight="false" outlineLevel="0" collapsed="false">
      <c r="A48" s="15" t="n">
        <v>46184</v>
      </c>
      <c r="B48" s="12" t="str">
        <f aca="false">TEXT(A48,"ddd")</f>
        <v>Thu</v>
      </c>
      <c r="C48" s="16" t="n">
        <v>8</v>
      </c>
      <c r="D48" s="17" t="n">
        <v>16.6</v>
      </c>
      <c r="E48" s="16" t="n">
        <v>26</v>
      </c>
      <c r="F48" s="18"/>
      <c r="G48" s="12" t="str">
        <f aca="false">IF(F48="","",IF(F48&gt;E48,"Busier than expected",IF(F48&lt;C48,"Quieter than expected","On track")))</f>
        <v/>
      </c>
    </row>
    <row r="49" customFormat="false" ht="15" hidden="false" customHeight="false" outlineLevel="0" collapsed="false">
      <c r="A49" s="15" t="n">
        <v>46185</v>
      </c>
      <c r="B49" s="12" t="str">
        <f aca="false">TEXT(A49,"ddd")</f>
        <v>Fri</v>
      </c>
      <c r="C49" s="16" t="n">
        <v>20</v>
      </c>
      <c r="D49" s="17" t="n">
        <v>35.2</v>
      </c>
      <c r="E49" s="16" t="n">
        <v>53</v>
      </c>
      <c r="F49" s="18"/>
      <c r="G49" s="12" t="str">
        <f aca="false">IF(F49="","",IF(F49&gt;E49,"Busier than expected",IF(F49&lt;C49,"Quieter than expected","On track")))</f>
        <v/>
      </c>
    </row>
    <row r="50" customFormat="false" ht="15" hidden="false" customHeight="false" outlineLevel="0" collapsed="false">
      <c r="A50" s="15" t="n">
        <v>46186</v>
      </c>
      <c r="B50" s="12" t="str">
        <f aca="false">TEXT(A50,"ddd")</f>
        <v>Sat</v>
      </c>
      <c r="C50" s="16" t="n">
        <v>22</v>
      </c>
      <c r="D50" s="17" t="n">
        <v>38.8</v>
      </c>
      <c r="E50" s="16" t="n">
        <v>59</v>
      </c>
      <c r="F50" s="18"/>
      <c r="G50" s="12" t="str">
        <f aca="false">IF(F50="","",IF(F50&gt;E50,"Busier than expected",IF(F50&lt;C50,"Quieter than expected","On track")))</f>
        <v/>
      </c>
    </row>
    <row r="51" customFormat="false" ht="15" hidden="false" customHeight="false" outlineLevel="0" collapsed="false">
      <c r="A51" s="15" t="n">
        <v>46187</v>
      </c>
      <c r="B51" s="12" t="str">
        <f aca="false">TEXT(A51,"ddd")</f>
        <v>Sun</v>
      </c>
      <c r="C51" s="16" t="n">
        <v>22</v>
      </c>
      <c r="D51" s="17" t="n">
        <v>38.6</v>
      </c>
      <c r="E51" s="16" t="n">
        <v>58</v>
      </c>
      <c r="F51" s="18"/>
      <c r="G51" s="12" t="str">
        <f aca="false">IF(F51="","",IF(F51&gt;E51,"Busier than expected",IF(F51&lt;C51,"Quieter than expected","On track")))</f>
        <v/>
      </c>
    </row>
    <row r="52" customFormat="false" ht="15" hidden="false" customHeight="false" outlineLevel="0" collapsed="false">
      <c r="A52" s="15" t="n">
        <v>46188</v>
      </c>
      <c r="B52" s="12" t="str">
        <f aca="false">TEXT(A52,"ddd")</f>
        <v>Mon</v>
      </c>
      <c r="C52" s="16" t="n">
        <v>16</v>
      </c>
      <c r="D52" s="17" t="n">
        <v>29.4</v>
      </c>
      <c r="E52" s="16" t="n">
        <v>45</v>
      </c>
      <c r="F52" s="18"/>
      <c r="G52" s="12" t="str">
        <f aca="false">IF(F52="","",IF(F52&gt;E52,"Busier than expected",IF(F52&lt;C52,"Quieter than expected","On track")))</f>
        <v/>
      </c>
    </row>
    <row r="53" customFormat="false" ht="15" hidden="false" customHeight="false" outlineLevel="0" collapsed="false">
      <c r="A53" s="15" t="n">
        <v>46189</v>
      </c>
      <c r="B53" s="12" t="str">
        <f aca="false">TEXT(A53,"ddd")</f>
        <v>Tue</v>
      </c>
      <c r="C53" s="16" t="n">
        <v>4</v>
      </c>
      <c r="D53" s="17" t="n">
        <v>9.8</v>
      </c>
      <c r="E53" s="16" t="n">
        <v>16</v>
      </c>
      <c r="F53" s="18"/>
      <c r="G53" s="12" t="str">
        <f aca="false">IF(F53="","",IF(F53&gt;E53,"Busier than expected",IF(F53&lt;C53,"Quieter than expected","On track")))</f>
        <v/>
      </c>
    </row>
    <row r="54" customFormat="false" ht="15" hidden="false" customHeight="false" outlineLevel="0" collapsed="false">
      <c r="A54" s="15" t="n">
        <v>46190</v>
      </c>
      <c r="B54" s="12" t="str">
        <f aca="false">TEXT(A54,"ddd")</f>
        <v>Wed</v>
      </c>
      <c r="C54" s="16" t="n">
        <v>16</v>
      </c>
      <c r="D54" s="17" t="n">
        <v>28.7</v>
      </c>
      <c r="E54" s="16" t="n">
        <v>44</v>
      </c>
      <c r="F54" s="18"/>
      <c r="G54" s="12" t="str">
        <f aca="false">IF(F54="","",IF(F54&gt;E54,"Busier than expected",IF(F54&lt;C54,"Quieter than expected","On track")))</f>
        <v/>
      </c>
    </row>
    <row r="55" customFormat="false" ht="15" hidden="false" customHeight="false" outlineLevel="0" collapsed="false">
      <c r="A55" s="15" t="n">
        <v>46191</v>
      </c>
      <c r="B55" s="12" t="str">
        <f aca="false">TEXT(A55,"ddd")</f>
        <v>Thu</v>
      </c>
      <c r="C55" s="16" t="n">
        <v>9</v>
      </c>
      <c r="D55" s="17" t="n">
        <v>16.6</v>
      </c>
      <c r="E55" s="16" t="n">
        <v>26</v>
      </c>
      <c r="F55" s="18"/>
      <c r="G55" s="12" t="str">
        <f aca="false">IF(F55="","",IF(F55&gt;E55,"Busier than expected",IF(F55&lt;C55,"Quieter than expected","On track")))</f>
        <v/>
      </c>
    </row>
    <row r="56" customFormat="false" ht="15" hidden="false" customHeight="false" outlineLevel="0" collapsed="false">
      <c r="A56" s="15" t="n">
        <v>46192</v>
      </c>
      <c r="B56" s="12" t="str">
        <f aca="false">TEXT(A56,"ddd")</f>
        <v>Fri</v>
      </c>
      <c r="C56" s="16" t="n">
        <v>19</v>
      </c>
      <c r="D56" s="17" t="n">
        <v>35.2</v>
      </c>
      <c r="E56" s="16" t="n">
        <v>54</v>
      </c>
      <c r="F56" s="18"/>
      <c r="G56" s="12" t="str">
        <f aca="false">IF(F56="","",IF(F56&gt;E56,"Busier than expected",IF(F56&lt;C56,"Quieter than expected","On track")))</f>
        <v/>
      </c>
    </row>
    <row r="57" customFormat="false" ht="15" hidden="false" customHeight="false" outlineLevel="0" collapsed="false">
      <c r="A57" s="15" t="n">
        <v>46193</v>
      </c>
      <c r="B57" s="12" t="str">
        <f aca="false">TEXT(A57,"ddd")</f>
        <v>Sat</v>
      </c>
      <c r="C57" s="16" t="n">
        <v>22</v>
      </c>
      <c r="D57" s="17" t="n">
        <v>38.7</v>
      </c>
      <c r="E57" s="16" t="n">
        <v>59</v>
      </c>
      <c r="F57" s="18"/>
      <c r="G57" s="12" t="str">
        <f aca="false">IF(F57="","",IF(F57&gt;E57,"Busier than expected",IF(F57&lt;C57,"Quieter than expected","On track")))</f>
        <v/>
      </c>
    </row>
    <row r="58" customFormat="false" ht="15" hidden="false" customHeight="false" outlineLevel="0" collapsed="false">
      <c r="A58" s="15" t="n">
        <v>46194</v>
      </c>
      <c r="B58" s="12" t="str">
        <f aca="false">TEXT(A58,"ddd")</f>
        <v>Sun</v>
      </c>
      <c r="C58" s="16" t="n">
        <v>22</v>
      </c>
      <c r="D58" s="17" t="n">
        <v>38.6</v>
      </c>
      <c r="E58" s="16" t="n">
        <v>59</v>
      </c>
      <c r="F58" s="18"/>
      <c r="G58" s="12" t="str">
        <f aca="false">IF(F58="","",IF(F58&gt;E58,"Busier than expected",IF(F58&lt;C58,"Quieter than expected","On track")))</f>
        <v/>
      </c>
    </row>
    <row r="59" customFormat="false" ht="15" hidden="false" customHeight="false" outlineLevel="0" collapsed="false">
      <c r="A59" s="15" t="n">
        <v>46195</v>
      </c>
      <c r="B59" s="12" t="str">
        <f aca="false">TEXT(A59,"ddd")</f>
        <v>Mon</v>
      </c>
      <c r="C59" s="16" t="n">
        <v>16</v>
      </c>
      <c r="D59" s="17" t="n">
        <v>29.3</v>
      </c>
      <c r="E59" s="16" t="n">
        <v>45</v>
      </c>
      <c r="F59" s="18"/>
      <c r="G59" s="12" t="str">
        <f aca="false">IF(F59="","",IF(F59&gt;E59,"Busier than expected",IF(F59&lt;C59,"Quieter than expected","On track")))</f>
        <v/>
      </c>
    </row>
    <row r="60" customFormat="false" ht="15" hidden="false" customHeight="false" outlineLevel="0" collapsed="false">
      <c r="A60" s="15" t="n">
        <v>46196</v>
      </c>
      <c r="B60" s="12" t="str">
        <f aca="false">TEXT(A60,"ddd")</f>
        <v>Tue</v>
      </c>
      <c r="C60" s="16" t="n">
        <v>4</v>
      </c>
      <c r="D60" s="17" t="n">
        <v>9.8</v>
      </c>
      <c r="E60" s="16" t="n">
        <v>16</v>
      </c>
      <c r="F60" s="18"/>
      <c r="G60" s="12" t="str">
        <f aca="false">IF(F60="","",IF(F60&gt;E60,"Busier than expected",IF(F60&lt;C60,"Quieter than expected","On track")))</f>
        <v/>
      </c>
    </row>
    <row r="62" customFormat="false" ht="15" hidden="false" customHeight="false" outlineLevel="0" collapsed="false">
      <c r="A62" s="19" t="s">
        <v>37</v>
      </c>
    </row>
    <row r="63" customFormat="false" ht="31.5" hidden="false" customHeight="true" outlineLevel="0" collapsed="false">
      <c r="A63" s="7" t="s">
        <v>36</v>
      </c>
      <c r="B63" s="7" t="s">
        <v>38</v>
      </c>
      <c r="C63" s="7" t="s">
        <v>39</v>
      </c>
    </row>
    <row r="64" customFormat="false" ht="15" hidden="false" customHeight="false" outlineLevel="0" collapsed="false">
      <c r="A64" s="12" t="s">
        <v>40</v>
      </c>
      <c r="B64" s="17" t="n">
        <f aca="false">AVERAGEIF($B$5:$B$60,A64,$D$5:$D$60)</f>
        <v>29.45</v>
      </c>
      <c r="C64" s="17" t="str">
        <f aca="false">IFERROR(AVERAGEIFS($F$5:$F$60,$B$5:$B$60,A64,$F$5:$F$60,"&lt;&gt;"),"")</f>
        <v/>
      </c>
    </row>
    <row r="65" customFormat="false" ht="15" hidden="false" customHeight="false" outlineLevel="0" collapsed="false">
      <c r="A65" s="12" t="s">
        <v>41</v>
      </c>
      <c r="B65" s="17" t="n">
        <f aca="false">AVERAGEIF($B$5:$B$60,A65,$D$5:$D$60)</f>
        <v>9.8</v>
      </c>
      <c r="C65" s="17" t="str">
        <f aca="false">IFERROR(AVERAGEIFS($F$5:$F$60,$B$5:$B$60,A65,$F$5:$F$60,"&lt;&gt;"),"")</f>
        <v/>
      </c>
    </row>
    <row r="66" customFormat="false" ht="15" hidden="false" customHeight="false" outlineLevel="0" collapsed="false">
      <c r="A66" s="12" t="s">
        <v>42</v>
      </c>
      <c r="B66" s="17" t="n">
        <f aca="false">AVERAGEIF($B$5:$B$60,A66,$D$5:$D$60)</f>
        <v>28.85</v>
      </c>
      <c r="C66" s="17" t="str">
        <f aca="false">IFERROR(AVERAGEIFS($F$5:$F$60,$B$5:$B$60,A66,$F$5:$F$60,"&lt;&gt;"),"")</f>
        <v/>
      </c>
    </row>
    <row r="67" customFormat="false" ht="15" hidden="false" customHeight="false" outlineLevel="0" collapsed="false">
      <c r="A67" s="12" t="s">
        <v>43</v>
      </c>
      <c r="B67" s="17" t="n">
        <f aca="false">AVERAGEIF($B$5:$B$60,A67,$D$5:$D$60)</f>
        <v>16.65</v>
      </c>
      <c r="C67" s="17" t="str">
        <f aca="false">IFERROR(AVERAGEIFS($F$5:$F$60,$B$5:$B$60,A67,$F$5:$F$60,"&lt;&gt;"),"")</f>
        <v/>
      </c>
    </row>
    <row r="68" customFormat="false" ht="15" hidden="false" customHeight="false" outlineLevel="0" collapsed="false">
      <c r="A68" s="12" t="s">
        <v>44</v>
      </c>
      <c r="B68" s="17" t="n">
        <f aca="false">AVERAGEIF($B$5:$B$60,A68,$D$5:$D$60)</f>
        <v>35.3125</v>
      </c>
      <c r="C68" s="17" t="str">
        <f aca="false">IFERROR(AVERAGEIFS($F$5:$F$60,$B$5:$B$60,A68,$F$5:$F$60,"&lt;&gt;"),"")</f>
        <v/>
      </c>
    </row>
    <row r="69" customFormat="false" ht="15" hidden="false" customHeight="false" outlineLevel="0" collapsed="false">
      <c r="A69" s="12" t="s">
        <v>45</v>
      </c>
      <c r="B69" s="17" t="n">
        <f aca="false">AVERAGEIF($B$5:$B$60,A69,$D$5:$D$60)</f>
        <v>38.9</v>
      </c>
      <c r="C69" s="17" t="str">
        <f aca="false">IFERROR(AVERAGEIFS($F$5:$F$60,$B$5:$B$60,A69,$F$5:$F$60,"&lt;&gt;"),"")</f>
        <v/>
      </c>
    </row>
    <row r="70" customFormat="false" ht="15" hidden="false" customHeight="false" outlineLevel="0" collapsed="false">
      <c r="A70" s="12" t="s">
        <v>46</v>
      </c>
      <c r="B70" s="17" t="n">
        <f aca="false">AVERAGEIF($B$5:$B$60,A70,$D$5:$D$60)</f>
        <v>38.7375</v>
      </c>
      <c r="C70" s="17" t="str">
        <f aca="false">IFERROR(AVERAGEIFS($F$5:$F$60,$B$5:$B$60,A70,$F$5:$F$60,"&lt;&gt;"),"")</f>
        <v/>
      </c>
    </row>
  </sheetData>
  <conditionalFormatting sqref="G5:G60">
    <cfRule type="expression" priority="2" aboveAverage="0" equalAverage="0" bottom="0" percent="0" rank="0" text="" dxfId="0">
      <formula>$G5="On track"</formula>
    </cfRule>
    <cfRule type="expression" priority="3" aboveAverage="0" equalAverage="0" bottom="0" percent="0" rank="0" text="" dxfId="1">
      <formula>$G5="Busier than expected"</formula>
    </cfRule>
    <cfRule type="expression" priority="4" aboveAverage="0" equalAverage="0" bottom="0" percent="0" rank="0" text="" dxfId="2">
      <formula>$G5="Quieter than expected"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9"/>
    <col collapsed="false" customWidth="true" hidden="false" outlineLevel="0" max="6" min="6" style="0" width="15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5" t="s">
        <v>47</v>
      </c>
    </row>
    <row r="2" customFormat="false" ht="15" hidden="false" customHeight="false" outlineLevel="0" collapsed="false">
      <c r="A2" s="6" t="s">
        <v>48</v>
      </c>
    </row>
    <row r="4" customFormat="false" ht="31.5" hidden="false" customHeight="true" outlineLevel="0" collapsed="false">
      <c r="A4" s="7" t="s">
        <v>35</v>
      </c>
      <c r="B4" s="7" t="s">
        <v>49</v>
      </c>
      <c r="C4" s="7" t="s">
        <v>50</v>
      </c>
      <c r="D4" s="7" t="s">
        <v>51</v>
      </c>
      <c r="E4" s="7" t="s">
        <v>52</v>
      </c>
      <c r="F4" s="7" t="s">
        <v>53</v>
      </c>
      <c r="G4" s="7" t="s">
        <v>27</v>
      </c>
    </row>
    <row r="5" customFormat="false" ht="15" hidden="false" customHeight="false" outlineLevel="0" collapsed="false">
      <c r="A5" s="8" t="n">
        <v>46113</v>
      </c>
      <c r="B5" s="16" t="n">
        <v>16</v>
      </c>
      <c r="C5" s="17" t="n">
        <v>29.3</v>
      </c>
      <c r="D5" s="16" t="n">
        <v>45</v>
      </c>
      <c r="E5" s="16" t="n">
        <v>20</v>
      </c>
      <c r="F5" s="20" t="n">
        <f aca="false">E5-C5</f>
        <v>-9.3</v>
      </c>
      <c r="G5" s="12" t="str">
        <f aca="false">IF(E5="","",IF(E5&gt;D5,"Busier than expected",IF(E5&lt;B5,"Quieter than expected","On track")))</f>
        <v>On track</v>
      </c>
    </row>
    <row r="6" customFormat="false" ht="15" hidden="false" customHeight="false" outlineLevel="0" collapsed="false">
      <c r="A6" s="8" t="n">
        <v>46114</v>
      </c>
      <c r="B6" s="16" t="n">
        <v>8</v>
      </c>
      <c r="C6" s="17" t="n">
        <v>16</v>
      </c>
      <c r="D6" s="16" t="n">
        <v>25</v>
      </c>
      <c r="E6" s="16" t="n">
        <v>28</v>
      </c>
      <c r="F6" s="20" t="n">
        <f aca="false">E6-C6</f>
        <v>12</v>
      </c>
      <c r="G6" s="12" t="str">
        <f aca="false">IF(E6="","",IF(E6&gt;D6,"Busier than expected",IF(E6&lt;B6,"Quieter than expected","On track")))</f>
        <v>Busier than expected</v>
      </c>
    </row>
    <row r="7" customFormat="false" ht="15" hidden="false" customHeight="false" outlineLevel="0" collapsed="false">
      <c r="A7" s="8" t="n">
        <v>46115</v>
      </c>
      <c r="B7" s="16" t="n">
        <v>20</v>
      </c>
      <c r="C7" s="17" t="n">
        <v>36.8</v>
      </c>
      <c r="D7" s="16" t="n">
        <v>56</v>
      </c>
      <c r="E7" s="16" t="n">
        <v>29</v>
      </c>
      <c r="F7" s="20" t="n">
        <f aca="false">E7-C7</f>
        <v>-7.8</v>
      </c>
      <c r="G7" s="12" t="str">
        <f aca="false">IF(E7="","",IF(E7&gt;D7,"Busier than expected",IF(E7&lt;B7,"Quieter than expected","On track")))</f>
        <v>On track</v>
      </c>
    </row>
    <row r="8" customFormat="false" ht="15" hidden="false" customHeight="false" outlineLevel="0" collapsed="false">
      <c r="A8" s="8" t="n">
        <v>46116</v>
      </c>
      <c r="B8" s="16" t="n">
        <v>24</v>
      </c>
      <c r="C8" s="17" t="n">
        <v>42.1</v>
      </c>
      <c r="D8" s="16" t="n">
        <v>64</v>
      </c>
      <c r="E8" s="16" t="n">
        <v>21</v>
      </c>
      <c r="F8" s="20" t="n">
        <f aca="false">E8-C8</f>
        <v>-21.1</v>
      </c>
      <c r="G8" s="12" t="str">
        <f aca="false">IF(E8="","",IF(E8&gt;D8,"Busier than expected",IF(E8&lt;B8,"Quieter than expected","On track")))</f>
        <v>Quieter than expected</v>
      </c>
    </row>
    <row r="9" customFormat="false" ht="15" hidden="false" customHeight="false" outlineLevel="0" collapsed="false">
      <c r="A9" s="8" t="n">
        <v>46117</v>
      </c>
      <c r="B9" s="16" t="n">
        <v>22</v>
      </c>
      <c r="C9" s="17" t="n">
        <v>40.4</v>
      </c>
      <c r="D9" s="16" t="n">
        <v>61</v>
      </c>
      <c r="E9" s="16" t="n">
        <v>44</v>
      </c>
      <c r="F9" s="20" t="n">
        <f aca="false">E9-C9</f>
        <v>3.6</v>
      </c>
      <c r="G9" s="12" t="str">
        <f aca="false">IF(E9="","",IF(E9&gt;D9,"Busier than expected",IF(E9&lt;B9,"Quieter than expected","On track")))</f>
        <v>On track</v>
      </c>
    </row>
    <row r="10" customFormat="false" ht="15" hidden="false" customHeight="false" outlineLevel="0" collapsed="false">
      <c r="A10" s="8" t="n">
        <v>46118</v>
      </c>
      <c r="B10" s="16" t="n">
        <v>14</v>
      </c>
      <c r="C10" s="17" t="n">
        <v>25.9</v>
      </c>
      <c r="D10" s="16" t="n">
        <v>41</v>
      </c>
      <c r="E10" s="16" t="n">
        <v>44</v>
      </c>
      <c r="F10" s="20" t="n">
        <f aca="false">E10-C10</f>
        <v>18.1</v>
      </c>
      <c r="G10" s="12" t="str">
        <f aca="false">IF(E10="","",IF(E10&gt;D10,"Busier than expected",IF(E10&lt;B10,"Quieter than expected","On track")))</f>
        <v>Busier than expected</v>
      </c>
    </row>
    <row r="11" customFormat="false" ht="15" hidden="false" customHeight="false" outlineLevel="0" collapsed="false">
      <c r="A11" s="8" t="n">
        <v>46119</v>
      </c>
      <c r="B11" s="16" t="n">
        <v>5</v>
      </c>
      <c r="C11" s="17" t="n">
        <v>10.8</v>
      </c>
      <c r="D11" s="16" t="n">
        <v>18</v>
      </c>
      <c r="E11" s="16" t="n">
        <v>5</v>
      </c>
      <c r="F11" s="20" t="n">
        <f aca="false">E11-C11</f>
        <v>-5.8</v>
      </c>
      <c r="G11" s="12" t="str">
        <f aca="false">IF(E11="","",IF(E11&gt;D11,"Busier than expected",IF(E11&lt;B11,"Quieter than expected","On track")))</f>
        <v>On track</v>
      </c>
    </row>
    <row r="12" customFormat="false" ht="15" hidden="false" customHeight="false" outlineLevel="0" collapsed="false">
      <c r="A12" s="8" t="n">
        <v>46120</v>
      </c>
      <c r="B12" s="16" t="n">
        <v>16</v>
      </c>
      <c r="C12" s="17" t="n">
        <v>29.3</v>
      </c>
      <c r="D12" s="16" t="n">
        <v>45</v>
      </c>
      <c r="E12" s="16" t="n">
        <v>16</v>
      </c>
      <c r="F12" s="20" t="n">
        <f aca="false">E12-C12</f>
        <v>-13.3</v>
      </c>
      <c r="G12" s="12" t="str">
        <f aca="false">IF(E12="","",IF(E12&gt;D12,"Busier than expected",IF(E12&lt;B12,"Quieter than expected","On track")))</f>
        <v>On track</v>
      </c>
    </row>
    <row r="13" customFormat="false" ht="15" hidden="false" customHeight="false" outlineLevel="0" collapsed="false">
      <c r="A13" s="8" t="n">
        <v>46121</v>
      </c>
      <c r="B13" s="16" t="n">
        <v>8</v>
      </c>
      <c r="C13" s="17" t="n">
        <v>16</v>
      </c>
      <c r="D13" s="16" t="n">
        <v>26</v>
      </c>
      <c r="E13" s="16" t="n">
        <v>12</v>
      </c>
      <c r="F13" s="20" t="n">
        <f aca="false">E13-C13</f>
        <v>-4</v>
      </c>
      <c r="G13" s="12" t="str">
        <f aca="false">IF(E13="","",IF(E13&gt;D13,"Busier than expected",IF(E13&lt;B13,"Quieter than expected","On track")))</f>
        <v>On track</v>
      </c>
    </row>
    <row r="14" customFormat="false" ht="15" hidden="false" customHeight="false" outlineLevel="0" collapsed="false">
      <c r="A14" s="8" t="n">
        <v>46122</v>
      </c>
      <c r="B14" s="16" t="n">
        <v>20</v>
      </c>
      <c r="C14" s="17" t="n">
        <v>36.8</v>
      </c>
      <c r="D14" s="16" t="n">
        <v>56</v>
      </c>
      <c r="E14" s="16" t="n">
        <v>35</v>
      </c>
      <c r="F14" s="20" t="n">
        <f aca="false">E14-C14</f>
        <v>-1.8</v>
      </c>
      <c r="G14" s="12" t="str">
        <f aca="false">IF(E14="","",IF(E14&gt;D14,"Busier than expected",IF(E14&lt;B14,"Quieter than expected","On track")))</f>
        <v>On track</v>
      </c>
    </row>
    <row r="15" customFormat="false" ht="15" hidden="false" customHeight="false" outlineLevel="0" collapsed="false">
      <c r="A15" s="8" t="n">
        <v>46123</v>
      </c>
      <c r="B15" s="16" t="n">
        <v>24</v>
      </c>
      <c r="C15" s="17" t="n">
        <v>42.1</v>
      </c>
      <c r="D15" s="16" t="n">
        <v>65</v>
      </c>
      <c r="E15" s="16" t="n">
        <v>54</v>
      </c>
      <c r="F15" s="20" t="n">
        <f aca="false">E15-C15</f>
        <v>11.9</v>
      </c>
      <c r="G15" s="12" t="str">
        <f aca="false">IF(E15="","",IF(E15&gt;D15,"Busier than expected",IF(E15&lt;B15,"Quieter than expected","On track")))</f>
        <v>On track</v>
      </c>
    </row>
    <row r="16" customFormat="false" ht="15" hidden="false" customHeight="false" outlineLevel="0" collapsed="false">
      <c r="A16" s="8" t="n">
        <v>46124</v>
      </c>
      <c r="B16" s="16" t="n">
        <v>22</v>
      </c>
      <c r="C16" s="17" t="n">
        <v>40.4</v>
      </c>
      <c r="D16" s="16" t="n">
        <v>62</v>
      </c>
      <c r="E16" s="16" t="n">
        <v>47</v>
      </c>
      <c r="F16" s="20" t="n">
        <f aca="false">E16-C16</f>
        <v>6.6</v>
      </c>
      <c r="G16" s="12" t="str">
        <f aca="false">IF(E16="","",IF(E16&gt;D16,"Busier than expected",IF(E16&lt;B16,"Quieter than expected","On track")))</f>
        <v>On track</v>
      </c>
    </row>
    <row r="17" customFormat="false" ht="15" hidden="false" customHeight="false" outlineLevel="0" collapsed="false">
      <c r="A17" s="8" t="n">
        <v>46125</v>
      </c>
      <c r="B17" s="16" t="n">
        <v>14</v>
      </c>
      <c r="C17" s="17" t="n">
        <v>25.9</v>
      </c>
      <c r="D17" s="16" t="n">
        <v>41</v>
      </c>
      <c r="E17" s="16" t="n">
        <v>30</v>
      </c>
      <c r="F17" s="20" t="n">
        <f aca="false">E17-C17</f>
        <v>4.1</v>
      </c>
      <c r="G17" s="12" t="str">
        <f aca="false">IF(E17="","",IF(E17&gt;D17,"Busier than expected",IF(E17&lt;B17,"Quieter than expected","On track")))</f>
        <v>On track</v>
      </c>
    </row>
    <row r="18" customFormat="false" ht="15" hidden="false" customHeight="false" outlineLevel="0" collapsed="false">
      <c r="A18" s="8" t="n">
        <v>46126</v>
      </c>
      <c r="B18" s="16" t="n">
        <v>5</v>
      </c>
      <c r="C18" s="17" t="n">
        <v>10.8</v>
      </c>
      <c r="D18" s="16" t="n">
        <v>18</v>
      </c>
      <c r="E18" s="16" t="n">
        <v>8</v>
      </c>
      <c r="F18" s="20" t="n">
        <f aca="false">E18-C18</f>
        <v>-2.8</v>
      </c>
      <c r="G18" s="12" t="str">
        <f aca="false">IF(E18="","",IF(E18&gt;D18,"Busier than expected",IF(E18&lt;B18,"Quieter than expected","On track")))</f>
        <v>On track</v>
      </c>
    </row>
    <row r="19" customFormat="false" ht="15" hidden="false" customHeight="false" outlineLevel="0" collapsed="false">
      <c r="A19" s="8" t="n">
        <v>46127</v>
      </c>
      <c r="B19" s="16" t="n">
        <v>16</v>
      </c>
      <c r="C19" s="17" t="n">
        <v>29.3</v>
      </c>
      <c r="D19" s="16" t="n">
        <v>45</v>
      </c>
      <c r="E19" s="16" t="n">
        <v>49</v>
      </c>
      <c r="F19" s="20" t="n">
        <f aca="false">E19-C19</f>
        <v>19.7</v>
      </c>
      <c r="G19" s="12" t="str">
        <f aca="false">IF(E19="","",IF(E19&gt;D19,"Busier than expected",IF(E19&lt;B19,"Quieter than expected","On track")))</f>
        <v>Busier than expected</v>
      </c>
    </row>
    <row r="20" customFormat="false" ht="15" hidden="false" customHeight="false" outlineLevel="0" collapsed="false">
      <c r="A20" s="8" t="n">
        <v>46128</v>
      </c>
      <c r="B20" s="16" t="n">
        <v>8</v>
      </c>
      <c r="C20" s="17" t="n">
        <v>16</v>
      </c>
      <c r="D20" s="16" t="n">
        <v>26</v>
      </c>
      <c r="E20" s="16" t="n">
        <v>22</v>
      </c>
      <c r="F20" s="20" t="n">
        <f aca="false">E20-C20</f>
        <v>6</v>
      </c>
      <c r="G20" s="12" t="str">
        <f aca="false">IF(E20="","",IF(E20&gt;D20,"Busier than expected",IF(E20&lt;B20,"Quieter than expected","On track")))</f>
        <v>On track</v>
      </c>
    </row>
    <row r="21" customFormat="false" ht="15" hidden="false" customHeight="false" outlineLevel="0" collapsed="false">
      <c r="A21" s="8" t="n">
        <v>46129</v>
      </c>
      <c r="B21" s="16" t="n">
        <v>20</v>
      </c>
      <c r="C21" s="17" t="n">
        <v>36.8</v>
      </c>
      <c r="D21" s="16" t="n">
        <v>56</v>
      </c>
      <c r="E21" s="16" t="n">
        <v>37</v>
      </c>
      <c r="F21" s="20" t="n">
        <f aca="false">E21-C21</f>
        <v>0.200000000000003</v>
      </c>
      <c r="G21" s="12" t="str">
        <f aca="false">IF(E21="","",IF(E21&gt;D21,"Busier than expected",IF(E21&lt;B21,"Quieter than expected","On track")))</f>
        <v>On track</v>
      </c>
    </row>
    <row r="22" customFormat="false" ht="15" hidden="false" customHeight="false" outlineLevel="0" collapsed="false">
      <c r="A22" s="8" t="n">
        <v>46130</v>
      </c>
      <c r="B22" s="16" t="n">
        <v>24</v>
      </c>
      <c r="C22" s="17" t="n">
        <v>42.1</v>
      </c>
      <c r="D22" s="16" t="n">
        <v>64</v>
      </c>
      <c r="E22" s="16" t="n">
        <v>24</v>
      </c>
      <c r="F22" s="20" t="n">
        <f aca="false">E22-C22</f>
        <v>-18.1</v>
      </c>
      <c r="G22" s="12" t="str">
        <f aca="false">IF(E22="","",IF(E22&gt;D22,"Busier than expected",IF(E22&lt;B22,"Quieter than expected","On track")))</f>
        <v>On track</v>
      </c>
    </row>
    <row r="23" customFormat="false" ht="15" hidden="false" customHeight="false" outlineLevel="0" collapsed="false">
      <c r="A23" s="8" t="n">
        <v>46131</v>
      </c>
      <c r="B23" s="16" t="n">
        <v>22</v>
      </c>
      <c r="C23" s="17" t="n">
        <v>40.4</v>
      </c>
      <c r="D23" s="16" t="n">
        <v>61</v>
      </c>
      <c r="E23" s="16" t="n">
        <v>32</v>
      </c>
      <c r="F23" s="20" t="n">
        <f aca="false">E23-C23</f>
        <v>-8.4</v>
      </c>
      <c r="G23" s="12" t="str">
        <f aca="false">IF(E23="","",IF(E23&gt;D23,"Busier than expected",IF(E23&lt;B23,"Quieter than expected","On track")))</f>
        <v>On track</v>
      </c>
    </row>
    <row r="24" customFormat="false" ht="15" hidden="false" customHeight="false" outlineLevel="0" collapsed="false">
      <c r="A24" s="8" t="n">
        <v>46132</v>
      </c>
      <c r="B24" s="16" t="n">
        <v>14</v>
      </c>
      <c r="C24" s="17" t="n">
        <v>26</v>
      </c>
      <c r="D24" s="16" t="n">
        <v>40</v>
      </c>
      <c r="E24" s="16" t="n">
        <v>70</v>
      </c>
      <c r="F24" s="20" t="n">
        <f aca="false">E24-C24</f>
        <v>44</v>
      </c>
      <c r="G24" s="12" t="str">
        <f aca="false">IF(E24="","",IF(E24&gt;D24,"Busier than expected",IF(E24&lt;B24,"Quieter than expected","On track")))</f>
        <v>Busier than expected</v>
      </c>
    </row>
    <row r="25" customFormat="false" ht="15" hidden="false" customHeight="false" outlineLevel="0" collapsed="false">
      <c r="A25" s="8" t="n">
        <v>46133</v>
      </c>
      <c r="B25" s="16" t="n">
        <v>5</v>
      </c>
      <c r="C25" s="17" t="n">
        <v>10.8</v>
      </c>
      <c r="D25" s="16" t="n">
        <v>17</v>
      </c>
      <c r="E25" s="16" t="n">
        <v>7</v>
      </c>
      <c r="F25" s="20" t="n">
        <f aca="false">E25-C25</f>
        <v>-3.8</v>
      </c>
      <c r="G25" s="12" t="str">
        <f aca="false">IF(E25="","",IF(E25&gt;D25,"Busier than expected",IF(E25&lt;B25,"Quieter than expected","On track")))</f>
        <v>On track</v>
      </c>
    </row>
    <row r="26" customFormat="false" ht="15" hidden="false" customHeight="false" outlineLevel="0" collapsed="false">
      <c r="A26" s="8" t="n">
        <v>46134</v>
      </c>
      <c r="B26" s="16" t="n">
        <v>16</v>
      </c>
      <c r="C26" s="17" t="n">
        <v>29.3</v>
      </c>
      <c r="D26" s="16" t="n">
        <v>45</v>
      </c>
      <c r="E26" s="16" t="n">
        <v>32</v>
      </c>
      <c r="F26" s="20" t="n">
        <f aca="false">E26-C26</f>
        <v>2.7</v>
      </c>
      <c r="G26" s="12" t="str">
        <f aca="false">IF(E26="","",IF(E26&gt;D26,"Busier than expected",IF(E26&lt;B26,"Quieter than expected","On track")))</f>
        <v>On track</v>
      </c>
    </row>
    <row r="27" customFormat="false" ht="15" hidden="false" customHeight="false" outlineLevel="0" collapsed="false">
      <c r="A27" s="8" t="n">
        <v>46135</v>
      </c>
      <c r="B27" s="16" t="n">
        <v>8</v>
      </c>
      <c r="C27" s="17" t="n">
        <v>16</v>
      </c>
      <c r="D27" s="16" t="n">
        <v>26</v>
      </c>
      <c r="E27" s="16" t="n">
        <v>17</v>
      </c>
      <c r="F27" s="20" t="n">
        <f aca="false">E27-C27</f>
        <v>1</v>
      </c>
      <c r="G27" s="12" t="str">
        <f aca="false">IF(E27="","",IF(E27&gt;D27,"Busier than expected",IF(E27&lt;B27,"Quieter than expected","On track")))</f>
        <v>On track</v>
      </c>
    </row>
    <row r="28" customFormat="false" ht="15" hidden="false" customHeight="false" outlineLevel="0" collapsed="false">
      <c r="A28" s="8" t="n">
        <v>46136</v>
      </c>
      <c r="B28" s="16" t="n">
        <v>20</v>
      </c>
      <c r="C28" s="17" t="n">
        <v>36.8</v>
      </c>
      <c r="D28" s="16" t="n">
        <v>56</v>
      </c>
      <c r="E28" s="16" t="n">
        <v>30</v>
      </c>
      <c r="F28" s="20" t="n">
        <f aca="false">E28-C28</f>
        <v>-6.8</v>
      </c>
      <c r="G28" s="12" t="str">
        <f aca="false">IF(E28="","",IF(E28&gt;D28,"Busier than expected",IF(E28&lt;B28,"Quieter than expected","On track")))</f>
        <v>On track</v>
      </c>
    </row>
    <row r="29" customFormat="false" ht="15" hidden="false" customHeight="false" outlineLevel="0" collapsed="false">
      <c r="A29" s="8" t="n">
        <v>46137</v>
      </c>
      <c r="B29" s="16" t="n">
        <v>24</v>
      </c>
      <c r="C29" s="17" t="n">
        <v>42.1</v>
      </c>
      <c r="D29" s="16" t="n">
        <v>64</v>
      </c>
      <c r="E29" s="16" t="n">
        <v>25</v>
      </c>
      <c r="F29" s="20" t="n">
        <f aca="false">E29-C29</f>
        <v>-17.1</v>
      </c>
      <c r="G29" s="12" t="str">
        <f aca="false">IF(E29="","",IF(E29&gt;D29,"Busier than expected",IF(E29&lt;B29,"Quieter than expected","On track")))</f>
        <v>On track</v>
      </c>
    </row>
    <row r="30" customFormat="false" ht="15" hidden="false" customHeight="false" outlineLevel="0" collapsed="false">
      <c r="A30" s="8" t="n">
        <v>46138</v>
      </c>
      <c r="B30" s="16" t="n">
        <v>23</v>
      </c>
      <c r="C30" s="17" t="n">
        <v>40.4</v>
      </c>
      <c r="D30" s="16" t="n">
        <v>62</v>
      </c>
      <c r="E30" s="16" t="n">
        <v>20</v>
      </c>
      <c r="F30" s="20" t="n">
        <f aca="false">E30-C30</f>
        <v>-20.4</v>
      </c>
      <c r="G30" s="12" t="str">
        <f aca="false">IF(E30="","",IF(E30&gt;D30,"Busier than expected",IF(E30&lt;B30,"Quieter than expected","On track")))</f>
        <v>Quieter than expected</v>
      </c>
    </row>
    <row r="31" customFormat="false" ht="15" hidden="false" customHeight="false" outlineLevel="0" collapsed="false">
      <c r="A31" s="8" t="n">
        <v>46139</v>
      </c>
      <c r="B31" s="16" t="n">
        <v>13</v>
      </c>
      <c r="C31" s="17" t="n">
        <v>26</v>
      </c>
      <c r="D31" s="16" t="n">
        <v>41</v>
      </c>
      <c r="E31" s="16" t="n">
        <v>27</v>
      </c>
      <c r="F31" s="20" t="n">
        <f aca="false">E31-C31</f>
        <v>1</v>
      </c>
      <c r="G31" s="12" t="str">
        <f aca="false">IF(E31="","",IF(E31&gt;D31,"Busier than expected",IF(E31&lt;B31,"Quieter than expected","On track")))</f>
        <v>On track</v>
      </c>
    </row>
    <row r="32" customFormat="false" ht="15" hidden="false" customHeight="false" outlineLevel="0" collapsed="false">
      <c r="A32" s="8" t="n">
        <v>46140</v>
      </c>
      <c r="B32" s="16" t="n">
        <v>5</v>
      </c>
      <c r="C32" s="17" t="n">
        <v>10.8</v>
      </c>
      <c r="D32" s="16" t="n">
        <v>18</v>
      </c>
      <c r="E32" s="16" t="n">
        <v>9</v>
      </c>
      <c r="F32" s="20" t="n">
        <f aca="false">E32-C32</f>
        <v>-1.8</v>
      </c>
      <c r="G32" s="12" t="str">
        <f aca="false">IF(E32="","",IF(E32&gt;D32,"Busier than expected",IF(E32&lt;B32,"Quieter than expected","On track")))</f>
        <v>On track</v>
      </c>
    </row>
    <row r="34" customFormat="false" ht="15" hidden="false" customHeight="false" outlineLevel="0" collapsed="false">
      <c r="A34" s="13" t="s">
        <v>54</v>
      </c>
      <c r="B34" s="21" t="n">
        <f aca="false">COUNTIF(G5:G32,"On track")/COUNTA(G5:G32)</f>
        <v>0.785714285714286</v>
      </c>
    </row>
    <row r="35" customFormat="false" ht="15" hidden="false" customHeight="false" outlineLevel="0" collapsed="false">
      <c r="A35" s="13" t="s">
        <v>55</v>
      </c>
      <c r="C35" s="14" t="n">
        <f aca="false">SUM(C5:C32)</f>
        <v>805.4</v>
      </c>
      <c r="E35" s="14" t="n">
        <f aca="false">SUM(E5:E32)</f>
        <v>794</v>
      </c>
    </row>
    <row r="36" customFormat="false" ht="15" hidden="false" customHeight="false" outlineLevel="0" collapsed="false">
      <c r="A36" s="13" t="s">
        <v>56</v>
      </c>
      <c r="C36" s="22" t="n">
        <f aca="false">C35/E35-1</f>
        <v>0.0143576826196474</v>
      </c>
    </row>
  </sheetData>
  <conditionalFormatting sqref="G5:G32">
    <cfRule type="expression" priority="2" aboveAverage="0" equalAverage="0" bottom="0" percent="0" rank="0" text="" dxfId="0">
      <formula>$G5="On track"</formula>
    </cfRule>
    <cfRule type="expression" priority="3" aboveAverage="0" equalAverage="0" bottom="0" percent="0" rank="0" text="" dxfId="1">
      <formula>$G5="Busier than expected"</formula>
    </cfRule>
    <cfRule type="expression" priority="4" aboveAverage="0" equalAverage="0" bottom="0" percent="0" rank="0" text="" dxfId="2">
      <formula>$G5="Quieter than expected"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5" t="s">
        <v>57</v>
      </c>
    </row>
    <row r="2" customFormat="false" ht="15" hidden="false" customHeight="false" outlineLevel="0" collapsed="false">
      <c r="A2" s="6" t="s">
        <v>58</v>
      </c>
    </row>
    <row r="4" customFormat="false" ht="31.5" hidden="false" customHeight="true" outlineLevel="0" collapsed="false">
      <c r="A4" s="7" t="s">
        <v>59</v>
      </c>
      <c r="B4" s="7" t="s">
        <v>60</v>
      </c>
      <c r="C4" s="7" t="s">
        <v>61</v>
      </c>
      <c r="D4" s="7" t="s">
        <v>62</v>
      </c>
      <c r="E4" s="7" t="s">
        <v>63</v>
      </c>
    </row>
    <row r="5" customFormat="false" ht="15" hidden="false" customHeight="false" outlineLevel="0" collapsed="false">
      <c r="A5" s="12" t="s">
        <v>64</v>
      </c>
      <c r="B5" s="9" t="n">
        <v>86</v>
      </c>
      <c r="C5" s="23" t="n">
        <v>3790</v>
      </c>
      <c r="D5" s="23" t="n">
        <v>578</v>
      </c>
      <c r="E5" s="24" t="n">
        <f aca="false">IF(OR(C5="",D5=""),"",D5/C5)</f>
        <v>0.152506596306069</v>
      </c>
    </row>
    <row r="6" customFormat="false" ht="15" hidden="false" customHeight="false" outlineLevel="0" collapsed="false">
      <c r="A6" s="12" t="s">
        <v>65</v>
      </c>
      <c r="B6" s="9" t="n">
        <v>102</v>
      </c>
      <c r="C6" s="23" t="n">
        <v>4655</v>
      </c>
      <c r="D6" s="23" t="n">
        <v>992</v>
      </c>
      <c r="E6" s="24" t="n">
        <f aca="false">IF(OR(C6="",D6=""),"",D6/C6)</f>
        <v>0.213104189044039</v>
      </c>
    </row>
    <row r="7" customFormat="false" ht="15" hidden="false" customHeight="false" outlineLevel="0" collapsed="false">
      <c r="A7" s="12" t="s">
        <v>66</v>
      </c>
      <c r="B7" s="9" t="n">
        <v>116</v>
      </c>
      <c r="C7" s="23" t="n">
        <v>5405</v>
      </c>
      <c r="D7" s="23" t="n">
        <v>1794</v>
      </c>
      <c r="E7" s="24" t="n">
        <f aca="false">IF(OR(C7="",D7=""),"",D7/C7)</f>
        <v>0.331914893617021</v>
      </c>
    </row>
    <row r="8" customFormat="false" ht="15" hidden="false" customHeight="false" outlineLevel="0" collapsed="false">
      <c r="A8" s="12" t="s">
        <v>67</v>
      </c>
      <c r="B8" s="9" t="n">
        <v>116</v>
      </c>
      <c r="C8" s="23" t="n">
        <v>5613</v>
      </c>
      <c r="D8" s="23" t="n">
        <v>2679</v>
      </c>
      <c r="E8" s="24" t="n">
        <f aca="false">IF(OR(C8="",D8=""),"",D8/C8)</f>
        <v>0.477284874398717</v>
      </c>
    </row>
    <row r="9" customFormat="false" ht="15" hidden="false" customHeight="false" outlineLevel="0" collapsed="false">
      <c r="A9" s="12" t="s">
        <v>68</v>
      </c>
      <c r="B9" s="10"/>
      <c r="C9" s="25"/>
      <c r="D9" s="25"/>
      <c r="E9" s="24" t="str">
        <f aca="false">IF(OR(C9="",D9=""),"",D9/C9)</f>
        <v/>
      </c>
    </row>
    <row r="10" customFormat="false" ht="15" hidden="false" customHeight="false" outlineLevel="0" collapsed="false">
      <c r="A10" s="12" t="s">
        <v>69</v>
      </c>
      <c r="B10" s="10"/>
      <c r="C10" s="25"/>
      <c r="D10" s="25"/>
      <c r="E10" s="24" t="str">
        <f aca="false">IF(OR(C10="",D10=""),"",D10/C10)</f>
        <v/>
      </c>
    </row>
    <row r="11" customFormat="false" ht="15" hidden="false" customHeight="false" outlineLevel="0" collapsed="false">
      <c r="A11" s="12" t="s">
        <v>70</v>
      </c>
      <c r="B11" s="10"/>
      <c r="C11" s="25"/>
      <c r="D11" s="25"/>
      <c r="E11" s="24" t="str">
        <f aca="false">IF(OR(C11="",D11=""),"",D11/C11)</f>
        <v/>
      </c>
    </row>
    <row r="12" customFormat="false" ht="15" hidden="false" customHeight="false" outlineLevel="0" collapsed="false">
      <c r="A12" s="12" t="s">
        <v>71</v>
      </c>
      <c r="B12" s="10"/>
      <c r="C12" s="25"/>
      <c r="D12" s="25"/>
      <c r="E12" s="24" t="str">
        <f aca="false">IF(OR(C12="",D12=""),"",D12/C12)</f>
        <v/>
      </c>
    </row>
    <row r="14" customFormat="false" ht="15" hidden="false" customHeight="false" outlineLevel="0" collapsed="false">
      <c r="A14" s="6" t="s">
        <v>72</v>
      </c>
    </row>
    <row r="15" customFormat="false" ht="15" hidden="false" customHeight="false" outlineLevel="0" collapsed="false">
      <c r="A15" s="6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2026-10-09T13:32:26Z</dcterms:created>
  <dc:creator>openpyxl</dc:creator>
  <dc:description/>
  <dc:language>en-US</dc:language>
  <cp:lastModifiedBy/>
  <dcterms:modified xsi:type="dcterms:W3CDTF">2026-10-09T13:32:26Z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